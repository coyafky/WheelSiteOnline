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Jev judgments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Method" sheetId="8" state="visible" r:id="rId8"/>
  </sheets>
  <definedNames>
    <definedName name="_xlnm._FilterDatabase" localSheetId="1" hidden="1">'Actions'!$A$1:$T$13</definedName>
    <definedName name="_xlnm._FilterDatabase" localSheetId="2" hidden="1">'Pages'!$A$1:$AF$61</definedName>
    <definedName name="_xlnm._FilterDatabase" localSheetId="3" hidden="1">'Jev judgments'!$A$1:$H$19</definedName>
    <definedName name="_xlnm._FilterDatabase" localSheetId="4" hidden="1">'Technical'!$A$1:$B$25</definedName>
    <definedName name="_xlnm._FilterDatabase" localSheetId="7" hidden="1">'Method'!$A$1:$B$10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0"/>
    <numFmt numFmtId="165" formatCode="yyyy-mm-dd"/>
  </numFmts>
  <fonts count="9">
    <font>
      <name val="Calibri"/>
      <family val="2"/>
      <color theme="1"/>
      <sz val="11"/>
      <scheme val="minor"/>
    </font>
    <font>
      <name val="Inter Display"/>
      <b val="1"/>
      <sz val="20"/>
    </font>
    <font>
      <name val="Inter"/>
      <color rgb="0052514E"/>
      <sz val="10"/>
    </font>
    <font>
      <name val="Inter"/>
      <b val="1"/>
    </font>
    <font>
      <name val="Inter Display"/>
      <b val="1"/>
      <color rgb="00A83A8C"/>
      <sz val="14"/>
    </font>
    <font>
      <name val="Inter"/>
      <b val="1"/>
      <color rgb="00FFFFFF"/>
      <sz val="10"/>
    </font>
    <font>
      <name val="Inter"/>
      <sz val="10"/>
    </font>
    <font>
      <name val="Inter"/>
      <b val="1"/>
      <sz val="12"/>
    </font>
    <font>
      <name val="Inter"/>
      <color rgb="00A83A8C"/>
      <sz val="10"/>
      <u val="single"/>
    </font>
  </fonts>
  <fills count="8">
    <fill>
      <patternFill/>
    </fill>
    <fill>
      <patternFill patternType="gray125"/>
    </fill>
    <fill>
      <patternFill patternType="solid">
        <fgColor rgb="000B0B0B"/>
      </patternFill>
    </fill>
    <fill>
      <patternFill patternType="solid">
        <fgColor rgb="00FFF7D6"/>
      </patternFill>
    </fill>
    <fill>
      <patternFill patternType="solid">
        <fgColor rgb="00F8DCDC"/>
      </patternFill>
    </fill>
    <fill>
      <patternFill patternType="solid">
        <fgColor rgb="00FBE3D8"/>
      </patternFill>
    </fill>
    <fill>
      <patternFill patternType="solid">
        <fgColor rgb="00FDF0D0"/>
      </patternFill>
    </fill>
    <fill>
      <patternFill patternType="solid">
        <fgColor rgb="00E3ECF6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2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FF3DF"/>
        </patternFill>
      </fill>
    </dxf>
    <dxf>
      <fill>
        <patternFill patternType="solid">
          <fgColor rgb="00FDF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'Summary'!B9</f>
            </strRef>
          </tx>
          <spPr>
            <a:solidFill xmlns:a="http://schemas.openxmlformats.org/drawingml/2006/main">
              <a:srgbClr val="D45BB6"/>
            </a:solidFill>
            <a:ln xmlns:a="http://schemas.openxmlformats.org/drawingml/2006/main">
              <a:prstDash val="solid"/>
            </a:ln>
          </spPr>
          <cat>
            <numRef>
              <f>'Summary'!$A$10:$A$18</f>
            </numRef>
          </cat>
          <val>
            <numRef>
              <f>'Summary'!$B$10:$B$18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Action status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'Summary'!$A$21:$A$25</f>
            </numRef>
          </cat>
          <val>
            <numRef>
              <f>'Summary'!$B$21:$B$25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</row>
      <rowOff>0</rowOff>
    </from>
    <ext cx="14287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905500" cy="302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905500" cy="3219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905500" cy="1876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895975" cy="461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5905500" cy="28479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5905500" cy="1095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5905500" cy="390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5905500" cy="3848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5905500" cy="3200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evelopers.google.com/search/docs/crawling-indexing/block-indexing" TargetMode="External" Id="rId1"/><Relationship Type="http://schemas.openxmlformats.org/officeDocument/2006/relationships/hyperlink" Target="https://developers.google.com/search/docs/appearance/page-experience" TargetMode="External" Id="rId2"/><Relationship Type="http://schemas.openxmlformats.org/officeDocument/2006/relationships/hyperlink" Target="https://developers.google.com/search/docs/appearance/structured-data/intro-structured-data" TargetMode="External" Id="rId3"/><Relationship Type="http://schemas.openxmlformats.org/officeDocument/2006/relationships/hyperlink" Target="https://developers.google.com/search/docs/crawling-indexing/sitemaps/overview" TargetMode="External" Id="rId4"/><Relationship Type="http://schemas.openxmlformats.org/officeDocument/2006/relationships/hyperlink" Target="https://developers.google.com/search/docs/fundamentals/creating-helpful-content" TargetMode="External" Id="rId5"/><Relationship Type="http://schemas.openxmlformats.org/officeDocument/2006/relationships/hyperlink" Target="https://developers.google.com/search/docs/crawling-indexing/consolidate-duplicate-urls" TargetMode="External" Id="rId6"/><Relationship Type="http://schemas.openxmlformats.org/officeDocument/2006/relationships/hyperlink" Target="https://developers.google.com/search/docs/appearance/title-link" TargetMode="External" Id="rId7"/><Relationship Type="http://schemas.openxmlformats.org/officeDocument/2006/relationships/hyperlink" Target="https://developers.google.com/search/docs/crawling-indexing/consolidate-duplicate-urls" TargetMode="External" Id="rId8"/><Relationship Type="http://schemas.openxmlformats.org/officeDocument/2006/relationships/hyperlink" Target="https://web.dev/articles/optimize-cls" TargetMode="External" Id="rId9"/><Relationship Type="http://schemas.openxmlformats.org/officeDocument/2006/relationships/hyperlink" Target="https://developers.google.com/search/docs/crawling-indexing/consolidate-duplicate-urls" TargetMode="External" Id="rId10"/><Relationship Type="http://schemas.openxmlformats.org/officeDocument/2006/relationships/hyperlink" Target="https://developers.google.com/search/docs/appearance/snippet" TargetMode="External" Id="rId11"/><Relationship Type="http://schemas.openxmlformats.org/officeDocument/2006/relationships/hyperlink" Target="https://developers.google.com/search/docs/appearance/structured-data/intro-structured-data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://119.91.205.130:9080/" TargetMode="External" Id="rId1"/><Relationship Type="http://schemas.openxmlformats.org/officeDocument/2006/relationships/hyperlink" Target="http://119.91.205.130:9080/about" TargetMode="External" Id="rId2"/><Relationship Type="http://schemas.openxmlformats.org/officeDocument/2006/relationships/hyperlink" Target="http://119.91.205.130:9080/capabilities" TargetMode="External" Id="rId3"/><Relationship Type="http://schemas.openxmlformats.org/officeDocument/2006/relationships/hyperlink" Target="http://119.91.205.130:9080/contact" TargetMode="External" Id="rId4"/><Relationship Type="http://schemas.openxmlformats.org/officeDocument/2006/relationships/hyperlink" Target="http://119.91.205.130:9080/custom-development" TargetMode="External" Id="rId5"/><Relationship Type="http://schemas.openxmlformats.org/officeDocument/2006/relationships/hyperlink" Target="http://119.91.205.130:9080/dealers" TargetMode="External" Id="rId6"/><Relationship Type="http://schemas.openxmlformats.org/officeDocument/2006/relationships/hyperlink" Target="http://119.91.205.130:9080/dealers/private-label" TargetMode="External" Id="rId7"/><Relationship Type="http://schemas.openxmlformats.org/officeDocument/2006/relationships/hyperlink" Target="http://119.91.205.130:9080/insights" TargetMode="External" Id="rId8"/><Relationship Type="http://schemas.openxmlformats.org/officeDocument/2006/relationships/hyperlink" Target="http://119.91.205.130:9080/insights/bolt-patterns" TargetMode="External" Id="rId9"/><Relationship Type="http://schemas.openxmlformats.org/officeDocument/2006/relationships/hyperlink" Target="http://119.91.205.130:9080/products" TargetMode="External" Id="rId10"/><Relationship Type="http://schemas.openxmlformats.org/officeDocument/2006/relationships/hyperlink" Target="http://119.91.205.130:9080/products/custom-aluminum" TargetMode="External" Id="rId11"/><Relationship Type="http://schemas.openxmlformats.org/officeDocument/2006/relationships/hyperlink" Target="http://119.91.205.130:9080/products/ev-components" TargetMode="External" Id="rId12"/><Relationship Type="http://schemas.openxmlformats.org/officeDocument/2006/relationships/hyperlink" Target="http://119.91.205.130:9080/products/safety-tires" TargetMode="External" Id="rId13"/><Relationship Type="http://schemas.openxmlformats.org/officeDocument/2006/relationships/hyperlink" Target="http://119.91.205.130:9080/products/wheels" TargetMode="External" Id="rId14"/><Relationship Type="http://schemas.openxmlformats.org/officeDocument/2006/relationships/hyperlink" Target="http://119.91.205.130:9080/request-a-quote" TargetMode="External" Id="rId15"/><Relationship Type="http://schemas.openxmlformats.org/officeDocument/2006/relationships/hyperlink" Target="http://119.91.205.130:9080/request-a-quote?from=home" TargetMode="External" Id="rId16"/><Relationship Type="http://schemas.openxmlformats.org/officeDocument/2006/relationships/hyperlink" Target="http://119.91.205.130:9080/support/privacy" TargetMode="External" Id="rId17"/><Relationship Type="http://schemas.openxmlformats.org/officeDocument/2006/relationships/hyperlink" Target="http://119.91.205.130:9080/support/returns" TargetMode="External" Id="rId18"/><Relationship Type="http://schemas.openxmlformats.org/officeDocument/2006/relationships/hyperlink" Target="http://119.91.205.130:9080/support/shipping" TargetMode="External" Id="rId19"/><Relationship Type="http://schemas.openxmlformats.org/officeDocument/2006/relationships/hyperlink" Target="http://119.91.205.130:9080/support/terms" TargetMode="External" Id="rId20"/><Relationship Type="http://schemas.openxmlformats.org/officeDocument/2006/relationships/hyperlink" Target="http://119.91.205.130:9080/support/warranty" TargetMode="External" Id="rId21"/><Relationship Type="http://schemas.openxmlformats.org/officeDocument/2006/relationships/hyperlink" Target="http://119.91.205.130:9080/tools/offset-calculator" TargetMode="External" Id="rId22"/><Relationship Type="http://schemas.openxmlformats.org/officeDocument/2006/relationships/hyperlink" Target="http://119.91.205.130:9080/gallery/finishes" TargetMode="External" Id="rId23"/><Relationship Type="http://schemas.openxmlformats.org/officeDocument/2006/relationships/hyperlink" Target="http://119.91.205.130:9080/products/wheels/12" TargetMode="External" Id="rId24"/><Relationship Type="http://schemas.openxmlformats.org/officeDocument/2006/relationships/hyperlink" Target="http://119.91.205.130:9080/products/wheels/260201004" TargetMode="External" Id="rId25"/><Relationship Type="http://schemas.openxmlformats.org/officeDocument/2006/relationships/hyperlink" Target="http://119.91.205.130:9080/products/wheels/260202003" TargetMode="External" Id="rId26"/><Relationship Type="http://schemas.openxmlformats.org/officeDocument/2006/relationships/hyperlink" Target="http://119.91.205.130:9080/products/wheels/260203003" TargetMode="External" Id="rId27"/><Relationship Type="http://schemas.openxmlformats.org/officeDocument/2006/relationships/hyperlink" Target="http://119.91.205.130:9080/products/wheels/a015" TargetMode="External" Id="rId28"/><Relationship Type="http://schemas.openxmlformats.org/officeDocument/2006/relationships/hyperlink" Target="http://119.91.205.130:9080/products/wheels/a091f" TargetMode="External" Id="rId29"/><Relationship Type="http://schemas.openxmlformats.org/officeDocument/2006/relationships/hyperlink" Target="http://119.91.205.130:9080/products/wheels/av08" TargetMode="External" Id="rId30"/><Relationship Type="http://schemas.openxmlformats.org/officeDocument/2006/relationships/hyperlink" Target="http://119.91.205.130:9080/products/wheels/cg02b" TargetMode="External" Id="rId31"/><Relationship Type="http://schemas.openxmlformats.org/officeDocument/2006/relationships/hyperlink" Target="http://119.91.205.130:9080/products/wheels/cg02p" TargetMode="External" Id="rId32"/><Relationship Type="http://schemas.openxmlformats.org/officeDocument/2006/relationships/hyperlink" Target="http://119.91.205.130:9080/products/wheels/cjf015" TargetMode="External" Id="rId33"/><Relationship Type="http://schemas.openxmlformats.org/officeDocument/2006/relationships/hyperlink" Target="http://119.91.205.130:9080/products/wheels/dim057" TargetMode="External" Id="rId34"/><Relationship Type="http://schemas.openxmlformats.org/officeDocument/2006/relationships/hyperlink" Target="http://119.91.205.130:9080/products/wheels/dim5014" TargetMode="External" Id="rId35"/><Relationship Type="http://schemas.openxmlformats.org/officeDocument/2006/relationships/hyperlink" Target="http://119.91.205.130:9080/products/wheels/dim5018" TargetMode="External" Id="rId36"/><Relationship Type="http://schemas.openxmlformats.org/officeDocument/2006/relationships/hyperlink" Target="http://119.91.205.130:9080/products/wheels/dim687" TargetMode="External" Id="rId37"/><Relationship Type="http://schemas.openxmlformats.org/officeDocument/2006/relationships/hyperlink" Target="http://119.91.205.130:9080/products/wheels/dm902" TargetMode="External" Id="rId38"/><Relationship Type="http://schemas.openxmlformats.org/officeDocument/2006/relationships/hyperlink" Target="http://119.91.205.130:9080/products/wheels/dq002" TargetMode="External" Id="rId39"/><Relationship Type="http://schemas.openxmlformats.org/officeDocument/2006/relationships/hyperlink" Target="http://119.91.205.130:9080/products/wheels/dq019209001s3212" TargetMode="External" Id="rId40"/><Relationship Type="http://schemas.openxmlformats.org/officeDocument/2006/relationships/hyperlink" Target="http://119.91.205.130:9080/products/wheels/dq019209011sh3212" TargetMode="External" Id="rId41"/><Relationship Type="http://schemas.openxmlformats.org/officeDocument/2006/relationships/hyperlink" Target="http://119.91.205.130:9080/products/wheels/dx035" TargetMode="External" Id="rId42"/><Relationship Type="http://schemas.openxmlformats.org/officeDocument/2006/relationships/hyperlink" Target="http://119.91.205.130:9080/products/wheels/dx045" TargetMode="External" Id="rId43"/><Relationship Type="http://schemas.openxmlformats.org/officeDocument/2006/relationships/hyperlink" Target="http://119.91.205.130:9080/products/wheels/dx046" TargetMode="External" Id="rId44"/><Relationship Type="http://schemas.openxmlformats.org/officeDocument/2006/relationships/hyperlink" Target="http://119.91.205.130:9080/products/wheels/dx088" TargetMode="External" Id="rId45"/><Relationship Type="http://schemas.openxmlformats.org/officeDocument/2006/relationships/hyperlink" Target="http://119.91.205.130:9080/products/wheels/dx125" TargetMode="External" Id="rId46"/><Relationship Type="http://schemas.openxmlformats.org/officeDocument/2006/relationships/hyperlink" Target="http://119.91.205.130:9080/products/wheels/dx137" TargetMode="External" Id="rId47"/><Relationship Type="http://schemas.openxmlformats.org/officeDocument/2006/relationships/hyperlink" Target="http://119.91.205.130:9080/products/wheels/flow-formed" TargetMode="External" Id="rId48"/><Relationship Type="http://schemas.openxmlformats.org/officeDocument/2006/relationships/hyperlink" Target="http://119.91.205.130:9080/products/wheels/forged" TargetMode="External" Id="rId49"/><Relationship Type="http://schemas.openxmlformats.org/officeDocument/2006/relationships/hyperlink" Target="http://119.91.205.130:9080/products/wheels?page=2" TargetMode="External" Id="rId50"/><Relationship Type="http://schemas.openxmlformats.org/officeDocument/2006/relationships/hyperlink" Target="http://119.91.205.130:9080/products/wheels?page=6" TargetMode="External" Id="rId51"/><Relationship Type="http://schemas.openxmlformats.org/officeDocument/2006/relationships/hyperlink" Target="http://119.91.205.130:9080/request-a-quote?product_line=custom-aluminum&amp;intent=project_assessment&amp;from=custom-aluminum&amp;application=battery-system-structures&amp;input_type=unspecified" TargetMode="External" Id="rId52"/><Relationship Type="http://schemas.openxmlformats.org/officeDocument/2006/relationships/hyperlink" Target="http://119.91.205.130:9080/request-a-quote?product_line=custom-aluminum&amp;intent=project_assessment&amp;from=custom-aluminum&amp;application=motor-reducer&amp;input_type=unspecified" TargetMode="External" Id="rId53"/><Relationship Type="http://schemas.openxmlformats.org/officeDocument/2006/relationships/hyperlink" Target="http://119.91.205.130:9080/request-a-quote?product_line=custom-aluminum&amp;intent=project_assessment&amp;from=custom-aluminum&amp;application=power-electronics-thermal-management&amp;input_type=unspecified" TargetMode="External" Id="rId54"/><Relationship Type="http://schemas.openxmlformats.org/officeDocument/2006/relationships/hyperlink" Target="http://119.91.205.130:9080/request-a-quote?product_line=ev-components&amp;intent=project_assessment&amp;from=ev-components&amp;category=controller-inverter&amp;evidence=unspecified" TargetMode="External" Id="rId55"/><Relationship Type="http://schemas.openxmlformats.org/officeDocument/2006/relationships/hyperlink" Target="http://119.91.205.130:9080/request-a-quote?product_line=ev-components&amp;intent=project_assessment&amp;from=ev-components&amp;category=die-cast-motor&amp;evidence=unspecified" TargetMode="External" Id="rId56"/><Relationship Type="http://schemas.openxmlformats.org/officeDocument/2006/relationships/hyperlink" Target="http://119.91.205.130:9080/request-a-quote?product_line=ev-components&amp;intent=project_assessment&amp;from=ev-components&amp;category=unspecified&amp;evidence=project_evidence_list" TargetMode="External" Id="rId57"/><Relationship Type="http://schemas.openxmlformats.org/officeDocument/2006/relationships/hyperlink" Target="http://119.91.205.130:9080/request-a-quote?product_line=ev-components&amp;intent=project_assessment&amp;from=ev-components&amp;category=unspecified&amp;evidence=unspecified" TargetMode="External" Id="rId58"/><Relationship Type="http://schemas.openxmlformats.org/officeDocument/2006/relationships/hyperlink" Target="http://119.91.205.130:9080/request-a-quote?product_line=ev-components&amp;intent=project_assessment&amp;from=ev-components&amp;category=water-cooled-motor&amp;evidence=unspecified" TargetMode="External" Id="rId59"/><Relationship Type="http://schemas.openxmlformats.org/officeDocument/2006/relationships/hyperlink" Target="http://119.91.205.130:9080/request-a-quote?product_line=wheels" TargetMode="External" Id="rId60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45BB6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52" customWidth="1" min="4" max="4"/>
  </cols>
  <sheetData>
    <row r="1">
      <c r="A1" s="1" t="inlineStr">
        <is>
          <t>Jev SEO audit: 119.91.205.130</t>
        </is>
      </c>
    </row>
    <row r="2">
      <c r="A2" s="2" t="inlineStr">
        <is>
          <t>Audited 2026-10-12T13:18:00+00:00 · 60 URLs crawled · 60 HTML pages · Jev jev-1.13.0</t>
        </is>
      </c>
    </row>
    <row r="4">
      <c r="A4" s="3" t="inlineStr">
        <is>
          <t>Overall score</t>
        </is>
      </c>
      <c r="B4" s="4" t="n">
        <v>20</v>
      </c>
    </row>
    <row r="5">
      <c r="A5" s="3" t="inlineStr">
        <is>
          <t>Grade</t>
        </is>
      </c>
      <c r="B5" s="4" t="inlineStr">
        <is>
          <t>F (partial audit)</t>
        </is>
      </c>
    </row>
    <row r="6">
      <c r="A6" s="3" t="inlineStr">
        <is>
          <t>Jev cost (USD)</t>
        </is>
      </c>
      <c r="B6" s="5" t="n">
        <v>0.00021</v>
      </c>
    </row>
    <row r="7">
      <c r="A7" s="3" t="inlineStr">
        <is>
          <t>DataForSEO cost (USD)</t>
        </is>
      </c>
      <c r="B7" s="4" t="inlineStr">
        <is>
          <t>not used</t>
        </is>
      </c>
    </row>
    <row r="9">
      <c r="A9" s="6" t="inlineStr">
        <is>
          <t>Area</t>
        </is>
      </c>
      <c r="B9" s="6" t="inlineStr">
        <is>
          <t>Score</t>
        </is>
      </c>
      <c r="C9" s="6" t="inlineStr">
        <is>
          <t>Weight</t>
        </is>
      </c>
      <c r="D9" s="6" t="inlineStr">
        <is>
          <t>How it is scored</t>
        </is>
      </c>
    </row>
    <row r="10">
      <c r="A10" s="7" t="inlineStr">
        <is>
          <t>Crawl and indexing</t>
        </is>
      </c>
      <c r="B10" s="7" t="n">
        <v>65</v>
      </c>
      <c r="C10" s="7" t="n">
        <v>20</v>
      </c>
      <c r="D10" s="7" t="inlineStr">
        <is>
          <t>Rules only</t>
        </is>
      </c>
    </row>
    <row r="11">
      <c r="A11" s="7" t="inlineStr">
        <is>
          <t>On-page</t>
        </is>
      </c>
      <c r="B11" s="7" t="n">
        <v>95</v>
      </c>
      <c r="C11" s="7" t="n">
        <v>15</v>
      </c>
      <c r="D11" s="7" t="inlineStr">
        <is>
          <t>Rules only</t>
        </is>
      </c>
    </row>
    <row r="12">
      <c r="A12" s="7" t="inlineStr">
        <is>
          <t>Content quality</t>
        </is>
      </c>
      <c r="B12" s="7" t="n">
        <v>70</v>
      </c>
      <c r="C12" s="7" t="n">
        <v>20</v>
      </c>
      <c r="D12" s="7" t="inlineStr">
        <is>
          <t>70% Jev judgment (helpfulness, specificity, trust), 30% rules</t>
        </is>
      </c>
    </row>
    <row r="13">
      <c r="A13" s="7" t="inlineStr">
        <is>
          <t>Links and architecture</t>
        </is>
      </c>
      <c r="B13" s="7" t="n">
        <v>100</v>
      </c>
      <c r="C13" s="7" t="n">
        <v>10</v>
      </c>
      <c r="D13" s="7" t="inlineStr">
        <is>
          <t>Rules only</t>
        </is>
      </c>
    </row>
    <row r="14">
      <c r="A14" s="7" t="inlineStr">
        <is>
          <t>Structured data and sharing</t>
        </is>
      </c>
      <c r="B14" s="7" t="n">
        <v>93</v>
      </c>
      <c r="C14" s="7" t="n">
        <v>8</v>
      </c>
      <c r="D14" s="7" t="inlineStr">
        <is>
          <t>Rules only</t>
        </is>
      </c>
    </row>
    <row r="15">
      <c r="A15" s="7" t="inlineStr">
        <is>
          <t>AI search readiness</t>
        </is>
      </c>
      <c r="B15" s="7" t="n">
        <v>88</v>
      </c>
      <c r="C15" s="7" t="n">
        <v>12</v>
      </c>
      <c r="D15" s="7" t="inlineStr">
        <is>
          <t>70% Jev judgment (citability, answer-first, entity clarity), 30% rules; editorial heuristics, since Google states no special optimization is required for AI features</t>
        </is>
      </c>
    </row>
    <row r="16">
      <c r="A16" s="7" t="inlineStr">
        <is>
          <t>Performance</t>
        </is>
      </c>
      <c r="B16" s="7" t="n">
        <v>98</v>
      </c>
      <c r="C16" s="7" t="n">
        <v>10</v>
      </c>
      <c r="D16" s="7" t="inlineStr">
        <is>
          <t>Crawl observations only: PageSpeed Insights unavailable</t>
        </is>
      </c>
    </row>
    <row r="17">
      <c r="A17" s="7" t="inlineStr">
        <is>
          <t>Security and trust</t>
        </is>
      </c>
      <c r="B17" s="7" t="n">
        <v>88</v>
      </c>
      <c r="C17" s="7" t="n">
        <v>5</v>
      </c>
      <c r="D17" s="7" t="inlineStr">
        <is>
          <t>Rules only</t>
        </is>
      </c>
    </row>
    <row r="18">
      <c r="A18" s="7" t="inlineStr">
        <is>
          <t>Search visibility and authority</t>
        </is>
      </c>
      <c r="B18" s="7" t="n"/>
      <c r="C18" s="7" t="n">
        <v>15</v>
      </c>
      <c r="D18" s="7" t="inlineStr">
        <is>
          <t>Not assessed: run with --full (DataForSEO)</t>
        </is>
      </c>
    </row>
    <row r="20">
      <c r="A20" s="8" t="inlineStr">
        <is>
          <t>Live status counts (from the Actions sheet)</t>
        </is>
      </c>
    </row>
    <row r="21">
      <c r="A21" s="7" t="inlineStr">
        <is>
          <t>to_do</t>
        </is>
      </c>
      <c r="B21" s="7">
        <f>COUNTIF(Actions!$E:$E,"to_do")</f>
        <v/>
      </c>
    </row>
    <row r="22">
      <c r="A22" s="7" t="inlineStr">
        <is>
          <t>in_progress</t>
        </is>
      </c>
      <c r="B22" s="7">
        <f>COUNTIF(Actions!$E:$E,"in_progress")</f>
        <v/>
      </c>
    </row>
    <row r="23">
      <c r="A23" s="7" t="inlineStr">
        <is>
          <t>done</t>
        </is>
      </c>
      <c r="B23" s="7">
        <f>COUNTIF(Actions!$E:$E,"done")</f>
        <v/>
      </c>
    </row>
    <row r="24">
      <c r="A24" s="7" t="inlineStr">
        <is>
          <t>deferred</t>
        </is>
      </c>
      <c r="B24" s="7">
        <f>COUNTIF(Actions!$E:$E,"deferred")</f>
        <v/>
      </c>
    </row>
    <row r="25">
      <c r="A25" s="7" t="inlineStr">
        <is>
          <t>not_applicable</t>
        </is>
      </c>
      <c r="B25" s="7">
        <f>COUNTIF(Actions!$E:$E,"not_applicable")</f>
        <v/>
      </c>
    </row>
    <row r="27">
      <c r="A27" s="8" t="inlineStr">
        <is>
          <t>Open actions by priority</t>
        </is>
      </c>
    </row>
    <row r="28">
      <c r="A28" s="7" t="inlineStr">
        <is>
          <t>P1</t>
        </is>
      </c>
      <c r="B28" s="7">
        <f>COUNTIFS(Actions!$C:$C,"P1",Actions!$E:$E,"&lt;&gt;done",Actions!$E:$E,"&lt;&gt;not_applicable")</f>
        <v/>
      </c>
    </row>
    <row r="29">
      <c r="A29" s="7" t="inlineStr">
        <is>
          <t>P2</t>
        </is>
      </c>
      <c r="B29" s="7">
        <f>COUNTIFS(Actions!$C:$C,"P2",Actions!$E:$E,"&lt;&gt;done",Actions!$E:$E,"&lt;&gt;not_applicable")</f>
        <v/>
      </c>
    </row>
    <row r="30">
      <c r="A30" s="7" t="inlineStr">
        <is>
          <t>P3</t>
        </is>
      </c>
      <c r="B30" s="7">
        <f>COUNTIFS(Actions!$C:$C,"P3",Actions!$E:$E,"&lt;&gt;done",Actions!$E:$E,"&lt;&gt;not_applicable")</f>
        <v/>
      </c>
    </row>
    <row r="31">
      <c r="A31" s="3" t="inlineStr">
        <is>
          <t>Total actions</t>
        </is>
      </c>
      <c r="B31" s="3">
        <f>COUNTA(Actions!$A:$A)-1</f>
        <v/>
      </c>
    </row>
  </sheetData>
  <conditionalFormatting sqref="B10:B18">
    <cfRule type="colorScale" priority="1">
      <colorScale>
        <cfvo type="num" val="0"/>
        <cfvo type="num" val="100"/>
        <color rgb="00FBEAF5"/>
        <color rgb="00A83A8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45BB6"/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9" customWidth="1" min="3" max="3"/>
    <col width="10" customWidth="1" min="4" max="4"/>
    <col width="13" customWidth="1" min="5" max="5"/>
    <col width="16" customWidth="1" min="6" max="6"/>
    <col width="12" customWidth="1" min="7" max="7"/>
    <col width="28" customWidth="1" min="8" max="8"/>
    <col width="8" customWidth="1" min="9" max="9"/>
    <col width="12" customWidth="1" min="10" max="10"/>
    <col width="9" customWidth="1" min="11" max="11"/>
    <col width="20" customWidth="1" min="12" max="12"/>
    <col width="9" customWidth="1" min="13" max="13"/>
    <col width="7" customWidth="1" min="14" max="14"/>
    <col width="46" customWidth="1" min="15" max="15"/>
    <col width="52" customWidth="1" min="16" max="16"/>
    <col width="10" customWidth="1" min="17" max="17"/>
    <col width="9" customWidth="1" min="18" max="18"/>
    <col width="36" customWidth="1" min="19" max="19"/>
    <col width="60" customWidth="1" min="20" max="20"/>
  </cols>
  <sheetData>
    <row r="1" ht="30" customHeight="1">
      <c r="A1" s="9" t="inlineStr">
        <is>
          <t>ID</t>
        </is>
      </c>
      <c r="B1" s="9" t="inlineStr">
        <is>
          <t>Action</t>
        </is>
      </c>
      <c r="C1" s="9" t="inlineStr">
        <is>
          <t>Priority</t>
        </is>
      </c>
      <c r="D1" s="9" t="inlineStr">
        <is>
          <t>Severity</t>
        </is>
      </c>
      <c r="E1" s="9" t="inlineStr">
        <is>
          <t>Status</t>
        </is>
      </c>
      <c r="F1" s="9" t="inlineStr">
        <is>
          <t>Owner</t>
        </is>
      </c>
      <c r="G1" s="9" t="inlineStr">
        <is>
          <t>Due</t>
        </is>
      </c>
      <c r="H1" s="9" t="inlineStr">
        <is>
          <t>Notes</t>
        </is>
      </c>
      <c r="I1" s="9" t="inlineStr">
        <is>
          <t>Impact</t>
        </is>
      </c>
      <c r="J1" s="9" t="inlineStr">
        <is>
          <t>Effort</t>
        </is>
      </c>
      <c r="K1" s="9" t="inlineStr">
        <is>
          <t>Quick win</t>
        </is>
      </c>
      <c r="L1" s="9" t="inlineStr">
        <is>
          <t>Area</t>
        </is>
      </c>
      <c r="M1" s="9" t="inlineStr">
        <is>
          <t>Judged by</t>
        </is>
      </c>
      <c r="N1" s="9" t="inlineStr">
        <is>
          <t>Pages</t>
        </is>
      </c>
      <c r="O1" s="9" t="inlineStr">
        <is>
          <t>Evidence</t>
        </is>
      </c>
      <c r="P1" s="9" t="inlineStr">
        <is>
          <t>Fix</t>
        </is>
      </c>
      <c r="Q1" s="9" t="inlineStr">
        <is>
          <t>Needs human check</t>
        </is>
      </c>
      <c r="R1" s="9" t="inlineStr">
        <is>
          <t>Heuristic</t>
        </is>
      </c>
      <c r="S1" s="9" t="inlineStr">
        <is>
          <t>Source</t>
        </is>
      </c>
      <c r="T1" s="9" t="inlineStr">
        <is>
          <t>Affected URLs</t>
        </is>
      </c>
    </row>
    <row r="2">
      <c r="A2" s="10" t="inlineStr">
        <is>
          <t>JEV-001</t>
        </is>
      </c>
      <c r="B2" s="10" t="inlineStr">
        <is>
          <t>Pages excluded from search with noindex</t>
        </is>
      </c>
      <c r="C2" s="10" t="inlineStr">
        <is>
          <t>P1</t>
        </is>
      </c>
      <c r="D2" s="11" t="inlineStr">
        <is>
          <t>critical</t>
        </is>
      </c>
      <c r="E2" s="12" t="inlineStr">
        <is>
          <t>to_do</t>
        </is>
      </c>
      <c r="F2" s="12" t="n"/>
      <c r="G2" s="13" t="n"/>
      <c r="H2" s="12" t="n"/>
      <c r="I2" s="10" t="n">
        <v>100</v>
      </c>
      <c r="J2" s="10" t="inlineStr">
        <is>
          <t>Hours</t>
        </is>
      </c>
      <c r="K2" s="10" t="inlineStr">
        <is>
          <t>yes</t>
        </is>
      </c>
      <c r="L2" s="10" t="inlineStr">
        <is>
          <t>Crawl and indexing</t>
        </is>
      </c>
      <c r="M2" s="10" t="inlineStr">
        <is>
          <t>rule</t>
        </is>
      </c>
      <c r="N2" s="10" t="n">
        <v>60</v>
      </c>
      <c r="O2" s="10" t="inlineStr">
        <is>
          <t>60 pages carry noindex</t>
        </is>
      </c>
      <c r="P2" s="10" t="inlineStr">
        <is>
          <t>Confirm each noindex is intended; remove it from pages that should rank.</t>
        </is>
      </c>
      <c r="Q2" s="10" t="inlineStr"/>
      <c r="R2" s="10" t="inlineStr"/>
      <c r="S2" s="14" t="inlineStr">
        <is>
          <t>https://developers.google.com/search/docs/crawling-indexing/block-indexing</t>
        </is>
      </c>
      <c r="T2" s="10" t="inlineStr">
        <is>
          <t>http://119.91.205.130:9080/
http://119.91.205.130:9080/products
http://119.91.205.130:9080/products/wheels
http://119.91.205.130:9080/products/ev-components
http://119.91.205.130:9080/products/custom-aluminum
http://119.91.205.130:9080/products/safety-tires
http://119.91.205.130:9080/capabilities
http://119.91.205.130:9080/custom-development
http://119.91.205.130:9080/dealers
http://119.91.205.130:9080/dealers/private-label
http://119.91.205.130:9080/insights
http://119.91.205.130:9080/insights/bolt-patterns
http://119.91.205.130:9080/about
http://119.91.205.130:9080/request-a-quote
http://119.91.205.130:9080/request-a-quote?from=home
http://119.91.205.130:9080/support/warranty
http://119.91.205.130:9080/support/returns
http://119.91.205.130:9080/support/shipping
http://119.91.205.130:9080/support/terms
http://119.91.205.130:9080/support/privacy
http://119.91.205.130:9080/contact
http://119.91.205.130:9080/tools/offset-calculator
http://119.91.205.130:9080/gallery/finishes
http://119.91.205.130:9080/products/wheels/flow-formed
http://119.91.205.130:9080/products/wheels/forged
+35 more</t>
        </is>
      </c>
    </row>
    <row r="3">
      <c r="A3" s="10" t="inlineStr">
        <is>
          <t>JEV-002</t>
        </is>
      </c>
      <c r="B3" s="10" t="inlineStr">
        <is>
          <t>Site not served over HTTPS, or HTTP does not redirect to HTTPS</t>
        </is>
      </c>
      <c r="C3" s="10" t="inlineStr">
        <is>
          <t>P1</t>
        </is>
      </c>
      <c r="D3" s="15" t="inlineStr">
        <is>
          <t>high</t>
        </is>
      </c>
      <c r="E3" s="12" t="inlineStr">
        <is>
          <t>to_do</t>
        </is>
      </c>
      <c r="F3" s="12" t="n"/>
      <c r="G3" s="13" t="n"/>
      <c r="H3" s="12" t="n"/>
      <c r="I3" s="10" t="n">
        <v>60</v>
      </c>
      <c r="J3" s="10" t="inlineStr">
        <is>
          <t>About a day</t>
        </is>
      </c>
      <c r="K3" s="10" t="inlineStr"/>
      <c r="L3" s="10" t="inlineStr">
        <is>
          <t>Security and trust</t>
        </is>
      </c>
      <c r="M3" s="10" t="inlineStr">
        <is>
          <t>rule</t>
        </is>
      </c>
      <c r="N3" s="10" t="n">
        <v>1</v>
      </c>
      <c r="O3" s="10" t="inlineStr">
        <is>
          <t>Homepage over HTTPS: False; HTTP redirects to HTTPS: False</t>
        </is>
      </c>
      <c r="P3" s="10" t="inlineStr">
        <is>
          <t>Serve every page over HTTPS and permanently redirect HTTP to HTTPS.</t>
        </is>
      </c>
      <c r="Q3" s="10" t="inlineStr"/>
      <c r="R3" s="10" t="inlineStr"/>
      <c r="S3" s="14" t="inlineStr">
        <is>
          <t>https://developers.google.com/search/docs/appearance/page-experience</t>
        </is>
      </c>
      <c r="T3" s="10" t="inlineStr">
        <is>
          <t>http://119.91.205.130:9080/</t>
        </is>
      </c>
    </row>
    <row r="4">
      <c r="A4" s="10" t="inlineStr">
        <is>
          <t>JEV-003</t>
        </is>
      </c>
      <c r="B4" s="10" t="inlineStr">
        <is>
          <t>No structured data on the homepage</t>
        </is>
      </c>
      <c r="C4" s="10" t="inlineStr">
        <is>
          <t>P2</t>
        </is>
      </c>
      <c r="D4" s="16" t="inlineStr">
        <is>
          <t>medium</t>
        </is>
      </c>
      <c r="E4" s="12" t="inlineStr">
        <is>
          <t>to_do</t>
        </is>
      </c>
      <c r="F4" s="12" t="n"/>
      <c r="G4" s="13" t="n"/>
      <c r="H4" s="12" t="n"/>
      <c r="I4" s="10" t="n">
        <v>30</v>
      </c>
      <c r="J4" s="10" t="inlineStr">
        <is>
          <t>About a day</t>
        </is>
      </c>
      <c r="K4" s="10" t="inlineStr"/>
      <c r="L4" s="10" t="inlineStr">
        <is>
          <t>Structured data and sharing</t>
        </is>
      </c>
      <c r="M4" s="10" t="inlineStr">
        <is>
          <t>rule</t>
        </is>
      </c>
      <c r="N4" s="10" t="n">
        <v>1</v>
      </c>
      <c r="O4" s="10" t="inlineStr">
        <is>
          <t>No JSON-LD or microdata types on the homepage</t>
        </is>
      </c>
      <c r="P4" s="10" t="inlineStr">
        <is>
          <t>Add JSON-LD describing the organisation and website (for example Organization and WebSite).</t>
        </is>
      </c>
      <c r="Q4" s="10" t="inlineStr"/>
      <c r="R4" s="10" t="inlineStr"/>
      <c r="S4" s="14" t="inlineStr">
        <is>
          <t>https://developers.google.com/search/docs/appearance/structured-data/intro-structured-data</t>
        </is>
      </c>
      <c r="T4" s="10" t="inlineStr">
        <is>
          <t>http://119.91.205.130:9080/</t>
        </is>
      </c>
    </row>
    <row r="5">
      <c r="A5" s="10" t="inlineStr">
        <is>
          <t>JEV-004</t>
        </is>
      </c>
      <c r="B5" s="10" t="inlineStr">
        <is>
          <t>Sitemap lists URLs that redirect, fail or are noindex</t>
        </is>
      </c>
      <c r="C5" s="10" t="inlineStr">
        <is>
          <t>P3</t>
        </is>
      </c>
      <c r="D5" s="16" t="inlineStr">
        <is>
          <t>medium</t>
        </is>
      </c>
      <c r="E5" s="12" t="inlineStr">
        <is>
          <t>to_do</t>
        </is>
      </c>
      <c r="F5" s="12" t="n"/>
      <c r="G5" s="13" t="n"/>
      <c r="H5" s="12" t="n"/>
      <c r="I5" s="10" t="n">
        <v>25</v>
      </c>
      <c r="J5" s="10" t="inlineStr">
        <is>
          <t>About a day</t>
        </is>
      </c>
      <c r="K5" s="10" t="inlineStr"/>
      <c r="L5" s="10" t="inlineStr">
        <is>
          <t>Crawl and indexing</t>
        </is>
      </c>
      <c r="M5" s="10" t="inlineStr">
        <is>
          <t>rule</t>
        </is>
      </c>
      <c r="N5" s="10" t="n">
        <v>37</v>
      </c>
      <c r="O5" s="10" t="inlineStr">
        <is>
          <t>37 of the crawled sitemap URLs are not final indexable pages</t>
        </is>
      </c>
      <c r="P5" s="10" t="inlineStr">
        <is>
          <t>List only final, indexable, HTTP 200 URLs in the sitemap.</t>
        </is>
      </c>
      <c r="Q5" s="10" t="inlineStr"/>
      <c r="R5" s="10" t="inlineStr"/>
      <c r="S5" s="14" t="inlineStr">
        <is>
          <t>https://developers.google.com/search/docs/crawling-indexing/sitemaps/overview</t>
        </is>
      </c>
      <c r="T5" s="10" t="inlineStr">
        <is>
          <t>http://119.91.205.130:9080/
http://119.91.205.130:9080/about
http://119.91.205.130:9080/capabilities
http://119.91.205.130:9080/contact
http://119.91.205.130:9080/custom-development
http://119.91.205.130:9080/products
http://119.91.205.130:9080/products/ev-components
http://119.91.205.130:9080/products/safety-tires
http://119.91.205.130:9080/products/wheels
http://119.91.205.130:9080/products/wheels/12
http://119.91.205.130:9080/products/wheels/260201004
http://119.91.205.130:9080/products/wheels/260202003
http://119.91.205.130:9080/products/wheels/260203003
http://119.91.205.130:9080/products/wheels/a015
http://119.91.205.130:9080/products/wheels/a091f
http://119.91.205.130:9080/products/wheels/av08
http://119.91.205.130:9080/products/wheels/cg02b
http://119.91.205.130:9080/products/wheels/cg02p
http://119.91.205.130:9080/products/wheels/cjf015
http://119.91.205.130:9080/products/wheels/dim057
http://119.91.205.130:9080/products/wheels/dim5014
http://119.91.205.130:9080/products/wheels/dim5018
http://119.91.205.130:9080/products/wheels/dim687
http://119.91.205.130:9080/products/wheels/dm902
http://119.91.205.130:9080/products/wheels/dq002
+12 more</t>
        </is>
      </c>
    </row>
    <row r="6">
      <c r="A6" s="10" t="inlineStr">
        <is>
          <t>JEV-005</t>
        </is>
      </c>
      <c r="B6" s="10" t="inlineStr">
        <is>
          <t>Key pages show little evidence of expertise or trust</t>
        </is>
      </c>
      <c r="C6" s="10" t="inlineStr">
        <is>
          <t>P3</t>
        </is>
      </c>
      <c r="D6" s="16" t="inlineStr">
        <is>
          <t>medium</t>
        </is>
      </c>
      <c r="E6" s="12" t="inlineStr">
        <is>
          <t>to_do</t>
        </is>
      </c>
      <c r="F6" s="12" t="n"/>
      <c r="G6" s="13" t="n"/>
      <c r="H6" s="12" t="n"/>
      <c r="I6" s="10" t="n">
        <v>18</v>
      </c>
      <c r="J6" s="10" t="inlineStr">
        <is>
          <t>About a day</t>
        </is>
      </c>
      <c r="K6" s="10" t="inlineStr"/>
      <c r="L6" s="10" t="inlineStr">
        <is>
          <t>Content quality</t>
        </is>
      </c>
      <c r="M6" s="10" t="inlineStr">
        <is>
          <t>Jev judged</t>
        </is>
      </c>
      <c r="N6" s="10" t="n">
        <v>1</v>
      </c>
      <c r="O6" s="10" t="inlineStr">
        <is>
          <t>Jev trust averaged 0.36 (0 worst, 1 best) on 1 page: /</t>
        </is>
      </c>
      <c r="P6" s="10" t="inlineStr">
        <is>
          <t>Add named people, credentials, reviews, sources, results and contact details where they help the reader.</t>
        </is>
      </c>
      <c r="Q6" s="10" t="inlineStr"/>
      <c r="R6" s="10" t="inlineStr"/>
      <c r="S6" s="14" t="inlineStr">
        <is>
          <t>https://developers.google.com/search/docs/fundamentals/creating-helpful-content</t>
        </is>
      </c>
      <c r="T6" s="10" t="inlineStr">
        <is>
          <t>http://119.91.205.130:9080/</t>
        </is>
      </c>
    </row>
    <row r="7">
      <c r="A7" s="10" t="inlineStr">
        <is>
          <t>JEV-006</t>
        </is>
      </c>
      <c r="B7" s="10" t="inlineStr">
        <is>
          <t>Canonical points to a different URL</t>
        </is>
      </c>
      <c r="C7" s="10" t="inlineStr">
        <is>
          <t>P3</t>
        </is>
      </c>
      <c r="D7" s="16" t="inlineStr">
        <is>
          <t>medium</t>
        </is>
      </c>
      <c r="E7" s="12" t="inlineStr">
        <is>
          <t>to_do</t>
        </is>
      </c>
      <c r="F7" s="12" t="n"/>
      <c r="G7" s="13" t="n"/>
      <c r="H7" s="12" t="n"/>
      <c r="I7" s="10" t="n">
        <v>14</v>
      </c>
      <c r="J7" s="10" t="inlineStr">
        <is>
          <t>Hours</t>
        </is>
      </c>
      <c r="K7" s="10" t="inlineStr"/>
      <c r="L7" s="10" t="inlineStr">
        <is>
          <t>Crawl and indexing</t>
        </is>
      </c>
      <c r="M7" s="10" t="inlineStr">
        <is>
          <t>rule</t>
        </is>
      </c>
      <c r="N7" s="10" t="n">
        <v>10</v>
      </c>
      <c r="O7" s="10" t="inlineStr">
        <is>
          <t>http://119.91.205.130:9080/request-a-quote?from=home -&gt; http://119.91.205.130:9080/request-a-quote; http://119.91.205.130:9080/request-a-quote?product_line=wheels -&gt; http://119.91.205.130:9080/request-a-quote; http://119.91.205.130:9080/request-a-quote?product_line=ev-components&amp;intent=project_assessment&amp;from=ev-components&amp;category=water-cooled-motor&amp;evidence=unspecified -&gt; http://119.91.205.130:9080/request-a-quote; http://119.91.205.130:9080/request-a-quote?product_line=ev-components&amp;intent=project_assessment&amp;from=ev-components&amp;category=die-cast-motor&amp;evidence=unspecified -&gt; http://119.91.205.130:9080/request-a-quote; http://119.91.205.130:9080/request-a-quote?product_line=ev-components&amp;intent=project_assessment&amp;from=ev-components&amp;category=controller-inverter&amp;evidence=unspecified -&gt; http://119.91.205.130:9080/request-a-quote</t>
        </is>
      </c>
      <c r="P7" s="10" t="inlineStr">
        <is>
          <t>Check that these pages really are duplicates of their canonical target; otherwise self-canonicalise.</t>
        </is>
      </c>
      <c r="Q7" s="10" t="inlineStr"/>
      <c r="R7" s="10" t="inlineStr"/>
      <c r="S7" s="14" t="inlineStr">
        <is>
          <t>https://developers.google.com/search/docs/crawling-indexing/consolidate-duplicate-urls</t>
        </is>
      </c>
      <c r="T7" s="10" t="inlineStr">
        <is>
          <t>http://119.91.205.130:9080/request-a-quote?from=home
http://119.91.205.130:9080/request-a-quote?product_line=wheels
http://119.91.205.130:9080/request-a-quote?product_line=ev-components&amp;intent=project_assessment&amp;from=ev-components&amp;category=water-cooled-motor&amp;evidence=unspecified
http://119.91.205.130:9080/request-a-quote?product_line=ev-components&amp;intent=project_assessment&amp;from=ev-components&amp;category=die-cast-motor&amp;evidence=unspecified
http://119.91.205.130:9080/request-a-quote?product_line=ev-components&amp;intent=project_assessment&amp;from=ev-components&amp;category=controller-inverter&amp;evidence=unspecified
http://119.91.205.130:9080/request-a-quote?product_line=ev-components&amp;intent=project_assessment&amp;from=ev-components&amp;category=unspecified&amp;evidence=project_evidence_list
http://119.91.205.130:9080/request-a-quote?product_line=ev-components&amp;intent=project_assessment&amp;from=ev-components&amp;category=unspecified&amp;evidence=unspecified
http://119.91.205.130:9080/request-a-quote?product_line=custom-aluminum&amp;intent=project_assessment&amp;from=custom-aluminum&amp;application=motor-reducer&amp;input_type=unspecified
http://119.91.205.130:9080/request-a-quote?product_line=custom-aluminum&amp;intent=project_assessment&amp;from=custom-aluminum&amp;application=power-electronics-thermal-management&amp;input_type=unspecified
http://119.91.205.130:9080/request-a-quote?product_line=custom-aluminum&amp;intent=project_assessment&amp;from=custom-aluminum&amp;application=battery-system-structures&amp;input_type=unspecified</t>
        </is>
      </c>
    </row>
    <row r="8">
      <c r="A8" s="10" t="inlineStr">
        <is>
          <t>JEV-007</t>
        </is>
      </c>
      <c r="B8" s="10" t="inlineStr">
        <is>
          <t>Duplicate titles across pages</t>
        </is>
      </c>
      <c r="C8" s="10" t="inlineStr">
        <is>
          <t>P3</t>
        </is>
      </c>
      <c r="D8" s="16" t="inlineStr">
        <is>
          <t>medium</t>
        </is>
      </c>
      <c r="E8" s="12" t="inlineStr">
        <is>
          <t>to_do</t>
        </is>
      </c>
      <c r="F8" s="12" t="n"/>
      <c r="G8" s="13" t="n"/>
      <c r="H8" s="12" t="n"/>
      <c r="I8" s="10" t="n">
        <v>14</v>
      </c>
      <c r="J8" s="10" t="inlineStr">
        <is>
          <t>Hours</t>
        </is>
      </c>
      <c r="K8" s="10" t="inlineStr"/>
      <c r="L8" s="10" t="inlineStr">
        <is>
          <t>On-page</t>
        </is>
      </c>
      <c r="M8" s="10" t="inlineStr">
        <is>
          <t>rule</t>
        </is>
      </c>
      <c r="N8" s="10" t="n">
        <v>11</v>
      </c>
      <c r="O8" s="10" t="inlineStr">
        <is>
          <t>1 title shared by several pages</t>
        </is>
      </c>
      <c r="P8" s="10" t="inlineStr">
        <is>
          <t>Give each page a title that distinguishes it from the others.</t>
        </is>
      </c>
      <c r="Q8" s="10" t="inlineStr"/>
      <c r="R8" s="10" t="inlineStr"/>
      <c r="S8" s="14" t="inlineStr">
        <is>
          <t>https://developers.google.com/search/docs/appearance/title-link</t>
        </is>
      </c>
      <c r="T8" s="10" t="inlineStr">
        <is>
          <t>http://119.91.205.130:9080/request-a-quote
http://119.91.205.130:9080/request-a-quote?from=home
http://119.91.205.130:9080/request-a-quote?product_line=custom-aluminum&amp;intent=project_assessment&amp;from=custom-aluminum&amp;application=battery-system-structures&amp;input_type=unspecified
http://119.91.205.130:9080/request-a-quote?product_line=custom-aluminum&amp;intent=project_assessment&amp;from=custom-aluminum&amp;application=motor-reducer&amp;input_type=unspecified
http://119.91.205.130:9080/request-a-quote?product_line=custom-aluminum&amp;intent=project_assessment&amp;from=custom-aluminum&amp;application=power-electronics-thermal-management&amp;input_type=unspecified
http://119.91.205.130:9080/request-a-quote?product_line=ev-components&amp;intent=project_assessment&amp;from=ev-components&amp;category=controller-inverter&amp;evidence=unspecified
http://119.91.205.130:9080/request-a-quote?product_line=ev-components&amp;intent=project_assessment&amp;from=ev-components&amp;category=die-cast-motor&amp;evidence=unspecified
http://119.91.205.130:9080/request-a-quote?product_line=ev-components&amp;intent=project_assessment&amp;from=ev-components&amp;category=unspecified&amp;evidence=project_evidence_list
http://119.91.205.130:9080/request-a-quote?product_line=ev-components&amp;intent=project_assessment&amp;from=ev-components&amp;category=unspecified&amp;evidence=unspecified
http://119.91.205.130:9080/request-a-quote?product_line=ev-components&amp;intent=project_assessment&amp;from=ev-components&amp;category=water-cooled-motor&amp;evidence=unspecified
http://119.91.205.130:9080/request-a-quote?product_line=wheels</t>
        </is>
      </c>
    </row>
    <row r="9">
      <c r="A9" s="10" t="inlineStr">
        <is>
          <t>JEV-008</t>
        </is>
      </c>
      <c r="B9" s="10" t="inlineStr">
        <is>
          <t>Pages with identical main text</t>
        </is>
      </c>
      <c r="C9" s="10" t="inlineStr">
        <is>
          <t>P3</t>
        </is>
      </c>
      <c r="D9" s="16" t="inlineStr">
        <is>
          <t>medium</t>
        </is>
      </c>
      <c r="E9" s="12" t="inlineStr">
        <is>
          <t>to_do</t>
        </is>
      </c>
      <c r="F9" s="12" t="n"/>
      <c r="G9" s="13" t="n"/>
      <c r="H9" s="12" t="n"/>
      <c r="I9" s="10" t="n">
        <v>14</v>
      </c>
      <c r="J9" s="10" t="inlineStr">
        <is>
          <t>About a day</t>
        </is>
      </c>
      <c r="K9" s="10" t="inlineStr"/>
      <c r="L9" s="10" t="inlineStr">
        <is>
          <t>Content quality</t>
        </is>
      </c>
      <c r="M9" s="10" t="inlineStr">
        <is>
          <t>rule</t>
        </is>
      </c>
      <c r="N9" s="10" t="n">
        <v>11</v>
      </c>
      <c r="O9" s="10" t="inlineStr">
        <is>
          <t>2 groups of pages with identical main text</t>
        </is>
      </c>
      <c r="P9" s="10" t="inlineStr">
        <is>
          <t>Consolidate duplicates or canonicalise them to one URL.</t>
        </is>
      </c>
      <c r="Q9" s="10" t="inlineStr"/>
      <c r="R9" s="10" t="inlineStr"/>
      <c r="S9" s="14" t="inlineStr">
        <is>
          <t>https://developers.google.com/search/docs/crawling-indexing/consolidate-duplicate-urls</t>
        </is>
      </c>
      <c r="T9" s="10" t="inlineStr">
        <is>
          <t>http://119.91.205.130:9080/request-a-quote
http://119.91.205.130:9080/request-a-quote?from=home
http://119.91.205.130:9080/request-a-quote?product_line=custom-aluminum&amp;intent=project_assessment&amp;from=custom-aluminum&amp;application=battery-system-structures&amp;input_type=unspecified
http://119.91.205.130:9080/request-a-quote?product_line=custom-aluminum&amp;intent=project_assessment&amp;from=custom-aluminum&amp;application=motor-reducer&amp;input_type=unspecified
http://119.91.205.130:9080/request-a-quote?product_line=custom-aluminum&amp;intent=project_assessment&amp;from=custom-aluminum&amp;application=power-electronics-thermal-management&amp;input_type=unspecified
http://119.91.205.130:9080/request-a-quote?product_line=ev-components&amp;intent=project_assessment&amp;from=ev-components&amp;category=controller-inverter&amp;evidence=unspecified
http://119.91.205.130:9080/request-a-quote?product_line=ev-components&amp;intent=project_assessment&amp;from=ev-components&amp;category=die-cast-motor&amp;evidence=unspecified
http://119.91.205.130:9080/request-a-quote?product_line=ev-components&amp;intent=project_assessment&amp;from=ev-components&amp;category=unspecified&amp;evidence=project_evidence_list
http://119.91.205.130:9080/request-a-quote?product_line=ev-components&amp;intent=project_assessment&amp;from=ev-components&amp;category=unspecified&amp;evidence=unspecified
http://119.91.205.130:9080/request-a-quote?product_line=ev-components&amp;intent=project_assessment&amp;from=ev-components&amp;category=water-cooled-motor&amp;evidence=unspecified
http://119.91.205.130:9080/request-a-quote?product_line=wheels</t>
        </is>
      </c>
    </row>
    <row r="10">
      <c r="A10" s="10" t="inlineStr">
        <is>
          <t>JEV-009</t>
        </is>
      </c>
      <c r="B10" s="10" t="inlineStr">
        <is>
          <t>Images without width and height</t>
        </is>
      </c>
      <c r="C10" s="10" t="inlineStr">
        <is>
          <t>P3</t>
        </is>
      </c>
      <c r="D10" s="17" t="inlineStr">
        <is>
          <t>low</t>
        </is>
      </c>
      <c r="E10" s="12" t="inlineStr">
        <is>
          <t>to_do</t>
        </is>
      </c>
      <c r="F10" s="12" t="n"/>
      <c r="G10" s="13" t="n"/>
      <c r="H10" s="12" t="n"/>
      <c r="I10" s="10" t="n">
        <v>8</v>
      </c>
      <c r="J10" s="10" t="inlineStr">
        <is>
          <t>Hours</t>
        </is>
      </c>
      <c r="K10" s="10" t="inlineStr"/>
      <c r="L10" s="10" t="inlineStr">
        <is>
          <t>Performance</t>
        </is>
      </c>
      <c r="M10" s="10" t="inlineStr">
        <is>
          <t>rule</t>
        </is>
      </c>
      <c r="N10" s="10" t="n">
        <v>36</v>
      </c>
      <c r="O10" s="10" t="inlineStr">
        <is>
          <t>263 images without explicit size</t>
        </is>
      </c>
      <c r="P10" s="10" t="inlineStr">
        <is>
          <t>Set width and height so layout does not shift while images load.</t>
        </is>
      </c>
      <c r="Q10" s="10" t="inlineStr"/>
      <c r="R10" s="10" t="inlineStr"/>
      <c r="S10" s="14" t="inlineStr">
        <is>
          <t>https://web.dev/articles/optimize-cls</t>
        </is>
      </c>
      <c r="T10" s="10" t="inlineStr">
        <is>
          <t>http://119.91.205.130:9080/
http://119.91.205.130:9080/products/wheels
http://119.91.205.130:9080/products/ev-components
http://119.91.205.130:9080/products/custom-aluminum
http://119.91.205.130:9080/products/safety-tires
http://119.91.205.130:9080/capabilities
http://119.91.205.130:9080/insights
http://119.91.205.130:9080/about
http://119.91.205.130:9080/products/wheels/flow-formed
http://119.91.205.130:9080/products/wheels/forged
http://119.91.205.130:9080/products/wheels/12
http://119.91.205.130:9080/products/wheels/260201004
http://119.91.205.130:9080/products/wheels/260202003
http://119.91.205.130:9080/products/wheels/260203003
http://119.91.205.130:9080/products/wheels/a015
http://119.91.205.130:9080/products/wheels/a091f
http://119.91.205.130:9080/products/wheels/av08
http://119.91.205.130:9080/products/wheels/cg02b
http://119.91.205.130:9080/products/wheels/cg02p
http://119.91.205.130:9080/products/wheels/cjf015
http://119.91.205.130:9080/products/wheels/dim057
http://119.91.205.130:9080/products/wheels/dim687
http://119.91.205.130:9080/products/wheels/dim5014
http://119.91.205.130:9080/products/wheels/dim5018
http://119.91.205.130:9080/products/wheels/dm902
+11 more</t>
        </is>
      </c>
    </row>
    <row r="11">
      <c r="A11" s="10" t="inlineStr">
        <is>
          <t>JEV-010</t>
        </is>
      </c>
      <c r="B11" s="10" t="inlineStr">
        <is>
          <t>Pages without a canonical link</t>
        </is>
      </c>
      <c r="C11" s="10" t="inlineStr">
        <is>
          <t>P3</t>
        </is>
      </c>
      <c r="D11" s="17" t="inlineStr">
        <is>
          <t>low</t>
        </is>
      </c>
      <c r="E11" s="12" t="inlineStr">
        <is>
          <t>to_do</t>
        </is>
      </c>
      <c r="F11" s="12" t="n"/>
      <c r="G11" s="13" t="n"/>
      <c r="H11" s="12" t="n"/>
      <c r="I11" s="10" t="n">
        <v>5</v>
      </c>
      <c r="J11" s="10" t="inlineStr">
        <is>
          <t>Hours</t>
        </is>
      </c>
      <c r="K11" s="10" t="inlineStr"/>
      <c r="L11" s="10" t="inlineStr">
        <is>
          <t>Crawl and indexing</t>
        </is>
      </c>
      <c r="M11" s="10" t="inlineStr">
        <is>
          <t>rule</t>
        </is>
      </c>
      <c r="N11" s="10" t="n">
        <v>17</v>
      </c>
      <c r="O11" s="10" t="inlineStr">
        <is>
          <t>17 of 60 pages</t>
        </is>
      </c>
      <c r="P11" s="10" t="inlineStr">
        <is>
          <t>Add a self-referencing rel=canonical to each indexable page.</t>
        </is>
      </c>
      <c r="Q11" s="10" t="inlineStr"/>
      <c r="R11" s="10" t="inlineStr"/>
      <c r="S11" s="14" t="inlineStr">
        <is>
          <t>https://developers.google.com/search/docs/crawling-indexing/consolidate-duplicate-urls</t>
        </is>
      </c>
      <c r="T11" s="10" t="inlineStr">
        <is>
          <t>http://119.91.205.130:9080/products
http://119.91.205.130:9080/products/custom-aluminum
http://119.91.205.130:9080/products/safety-tires
http://119.91.205.130:9080/capabilities
http://119.91.205.130:9080/custom-development
http://119.91.205.130:9080/dealers
http://119.91.205.130:9080/dealers/private-label
http://119.91.205.130:9080/insights
http://119.91.205.130:9080/insights/bolt-patterns
http://119.91.205.130:9080/about
http://119.91.205.130:9080/support/warranty
http://119.91.205.130:9080/support/returns
http://119.91.205.130:9080/support/shipping
http://119.91.205.130:9080/support/terms
http://119.91.205.130:9080/support/privacy
http://119.91.205.130:9080/tools/offset-calculator
http://119.91.205.130:9080/gallery/finishes</t>
        </is>
      </c>
    </row>
    <row r="12">
      <c r="A12" s="10" t="inlineStr">
        <is>
          <t>JEV-011</t>
        </is>
      </c>
      <c r="B12" s="10" t="inlineStr">
        <is>
          <t>Duplicate meta descriptions</t>
        </is>
      </c>
      <c r="C12" s="10" t="inlineStr">
        <is>
          <t>P3</t>
        </is>
      </c>
      <c r="D12" s="17" t="inlineStr">
        <is>
          <t>low</t>
        </is>
      </c>
      <c r="E12" s="12" t="inlineStr">
        <is>
          <t>to_do</t>
        </is>
      </c>
      <c r="F12" s="12" t="n"/>
      <c r="G12" s="13" t="n"/>
      <c r="H12" s="12" t="n"/>
      <c r="I12" s="10" t="n">
        <v>5</v>
      </c>
      <c r="J12" s="10" t="inlineStr">
        <is>
          <t>Hours</t>
        </is>
      </c>
      <c r="K12" s="10" t="inlineStr"/>
      <c r="L12" s="10" t="inlineStr">
        <is>
          <t>On-page</t>
        </is>
      </c>
      <c r="M12" s="10" t="inlineStr">
        <is>
          <t>rule</t>
        </is>
      </c>
      <c r="N12" s="10" t="n">
        <v>14</v>
      </c>
      <c r="O12" s="10" t="inlineStr">
        <is>
          <t>2 descriptions shared by several pages</t>
        </is>
      </c>
      <c r="P12" s="10" t="inlineStr">
        <is>
          <t>Write a distinct description for each page.</t>
        </is>
      </c>
      <c r="Q12" s="10" t="inlineStr"/>
      <c r="R12" s="10" t="inlineStr"/>
      <c r="S12" s="14" t="inlineStr">
        <is>
          <t>https://developers.google.com/search/docs/appearance/snippet</t>
        </is>
      </c>
      <c r="T12" s="10" t="inlineStr">
        <is>
          <t>http://119.91.205.130:9080/products/wheels
http://119.91.205.130:9080/products/wheels?page=2
http://119.91.205.130:9080/products/wheels?page=6
http://119.91.205.130:9080/request-a-quote
http://119.91.205.130:9080/request-a-quote?from=home
http://119.91.205.130:9080/request-a-quote?product_line=custom-aluminum&amp;intent=project_assessment&amp;from=custom-aluminum&amp;application=battery-system-structures&amp;input_type=unspecified
http://119.91.205.130:9080/request-a-quote?product_line=custom-aluminum&amp;intent=project_assessment&amp;from=custom-aluminum&amp;application=motor-reducer&amp;input_type=unspecified
http://119.91.205.130:9080/request-a-quote?product_line=custom-aluminum&amp;intent=project_assessment&amp;from=custom-aluminum&amp;application=power-electronics-thermal-management&amp;input_type=unspecified
http://119.91.205.130:9080/request-a-quote?product_line=ev-components&amp;intent=project_assessment&amp;from=ev-components&amp;category=controller-inverter&amp;evidence=unspecified
http://119.91.205.130:9080/request-a-quote?product_line=ev-components&amp;intent=project_assessment&amp;from=ev-components&amp;category=die-cast-motor&amp;evidence=unspecified
http://119.91.205.130:9080/request-a-quote?product_line=ev-components&amp;intent=project_assessment&amp;from=ev-components&amp;category=unspecified&amp;evidence=project_evidence_list
http://119.91.205.130:9080/request-a-quote?product_line=ev-components&amp;intent=project_assessment&amp;from=ev-components&amp;category=unspecified&amp;evidence=unspecified
http://119.91.205.130:9080/request-a-quote?product_line=ev-components&amp;intent=project_assessment&amp;from=ev-components&amp;category=water-cooled-motor&amp;evidence=unspecified
http://119.91.205.130:9080/request-a-quote?product_line=wheels</t>
        </is>
      </c>
    </row>
    <row r="13">
      <c r="A13" s="10" t="inlineStr">
        <is>
          <t>JEV-012</t>
        </is>
      </c>
      <c r="B13" s="10" t="inlineStr">
        <is>
          <t>Structured data missing properties Google requires for rich results</t>
        </is>
      </c>
      <c r="C13" s="10" t="inlineStr">
        <is>
          <t>P3</t>
        </is>
      </c>
      <c r="D13" s="17" t="inlineStr">
        <is>
          <t>low</t>
        </is>
      </c>
      <c r="E13" s="12" t="inlineStr">
        <is>
          <t>to_do</t>
        </is>
      </c>
      <c r="F13" s="12" t="n"/>
      <c r="G13" s="13" t="n"/>
      <c r="H13" s="12" t="n"/>
      <c r="I13" s="10" t="n">
        <v>5</v>
      </c>
      <c r="J13" s="10" t="inlineStr">
        <is>
          <t>Hours</t>
        </is>
      </c>
      <c r="K13" s="10" t="inlineStr"/>
      <c r="L13" s="10" t="inlineStr">
        <is>
          <t>Structured data and sharing</t>
        </is>
      </c>
      <c r="M13" s="10" t="inlineStr">
        <is>
          <t>rule</t>
        </is>
      </c>
      <c r="N13" s="10" t="n">
        <v>24</v>
      </c>
      <c r="O13" s="10" t="inlineStr">
        <is>
          <t>Product on /products/wheels/12 lacks offers, review or aggregateRating; Product on /products/wheels/260201004 lacks offers, review or aggregateRating; Product on /products/wheels/260202003 lacks offers, review or aggregateRating; Product on /products/wheels/260203003 lacks offers, review or aggregateRating; Product on /products/wheels/a015 lacks offers, review or aggregateRating; Product on /products/wheels/a091f lacks offers, review or aggregateRating; and 18 more</t>
        </is>
      </c>
      <c r="P13" s="10" t="inlineStr">
        <is>
          <t>Add the missing required properties listed in the evidence, or remove markup that cannot be completed truthfully.</t>
        </is>
      </c>
      <c r="Q13" s="10" t="inlineStr"/>
      <c r="R13" s="10" t="inlineStr"/>
      <c r="S13" s="14" t="inlineStr">
        <is>
          <t>https://developers.google.com/search/docs/appearance/structured-data/intro-structured-data</t>
        </is>
      </c>
      <c r="T13" s="10" t="inlineStr">
        <is>
          <t>http://119.91.205.130:9080/products/wheels/12
http://119.91.205.130:9080/products/wheels/260201004
http://119.91.205.130:9080/products/wheels/260202003
http://119.91.205.130:9080/products/wheels/260203003
http://119.91.205.130:9080/products/wheels/a015
http://119.91.205.130:9080/products/wheels/a091f
http://119.91.205.130:9080/products/wheels/av08
http://119.91.205.130:9080/products/wheels/cg02b
http://119.91.205.130:9080/products/wheels/cg02p
http://119.91.205.130:9080/products/wheels/cjf015
http://119.91.205.130:9080/products/wheels/dim057
http://119.91.205.130:9080/products/wheels/dim5014
http://119.91.205.130:9080/products/wheels/dim5018
http://119.91.205.130:9080/products/wheels/dim687
http://119.91.205.130:9080/products/wheels/dm902
http://119.91.205.130:9080/products/wheels/dq002
http://119.91.205.130:9080/products/wheels/dq019209001s3212
http://119.91.205.130:9080/products/wheels/dq019209011sh3212
http://119.91.205.130:9080/products/wheels/dx035
http://119.91.205.130:9080/products/wheels/dx045
http://119.91.205.130:9080/products/wheels/dx046
http://119.91.205.130:9080/products/wheels/dx088
http://119.91.205.130:9080/products/wheels/dx125
http://119.91.205.130:9080/products/wheels/dx137</t>
        </is>
      </c>
    </row>
  </sheetData>
  <autoFilter ref="A1:T13"/>
  <conditionalFormatting sqref="E2:E13">
    <cfRule type="cellIs" priority="1" operator="equal" dxfId="0">
      <formula>"done"</formula>
    </cfRule>
  </conditionalFormatting>
  <conditionalFormatting sqref="I2:I13">
    <cfRule type="colorScale" priority="2">
      <colorScale>
        <cfvo type="num" val="0"/>
        <cfvo type="num" val="100"/>
        <color rgb="00FFFFFF"/>
        <color rgb="00E691CF"/>
      </colorScale>
    </cfRule>
  </conditionalFormatting>
  <dataValidations count="2">
    <dataValidation sqref="E2:E13" showDropDown="0" showInputMessage="0" showErrorMessage="0" allowBlank="0" type="list">
      <formula1>"to_do,in_progress,done,deferred,not_applicable"</formula1>
    </dataValidation>
    <dataValidation sqref="C2:C13" showDropDown="0" showInputMessage="0" showErrorMessage="0" allowBlank="0" type="list">
      <formula1>"P1,P2,P3"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3C2B7"/>
    <outlinePr summaryBelow="1" summaryRight="1"/>
    <pageSetUpPr/>
  </sheetPr>
  <dimension ref="A1:AF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40" customWidth="1" min="4" max="4"/>
    <col width="8" customWidth="1" min="5" max="5"/>
    <col width="8" customWidth="1" min="6" max="6"/>
    <col width="34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7" customWidth="1" min="13" max="13"/>
    <col width="9" customWidth="1" min="14" max="14"/>
    <col width="9" customWidth="1" min="15" max="15"/>
    <col width="40" customWidth="1" min="16" max="16"/>
    <col width="26" customWidth="1" min="17" max="17"/>
    <col width="8" customWidth="1" min="18" max="18"/>
    <col width="8" customWidth="1" min="19" max="19"/>
    <col width="9" customWidth="1" min="20" max="20"/>
    <col width="18" customWidth="1" min="21" max="21"/>
    <col width="14" customWidth="1" min="22" max="22"/>
    <col width="10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30" customHeight="1">
      <c r="A1" s="9" t="inlineStr">
        <is>
          <t>URL</t>
        </is>
      </c>
      <c r="B1" s="9" t="inlineStr">
        <is>
          <t>Status</t>
        </is>
      </c>
      <c r="C1" s="9" t="inlineStr">
        <is>
          <t>Depth</t>
        </is>
      </c>
      <c r="D1" s="9" t="inlineStr">
        <is>
          <t>Title</t>
        </is>
      </c>
      <c r="E1" s="9" t="inlineStr">
        <is>
          <t>Title chars</t>
        </is>
      </c>
      <c r="F1" s="9" t="inlineStr">
        <is>
          <t>Meta chars</t>
        </is>
      </c>
      <c r="G1" s="9" t="inlineStr">
        <is>
          <t>H1</t>
        </is>
      </c>
      <c r="H1" s="9" t="inlineStr">
        <is>
          <t>H1 count</t>
        </is>
      </c>
      <c r="I1" s="9" t="inlineStr">
        <is>
          <t>Words</t>
        </is>
      </c>
      <c r="J1" s="9" t="inlineStr">
        <is>
          <t>Inlinks</t>
        </is>
      </c>
      <c r="K1" s="9" t="inlineStr">
        <is>
          <t>Outlinks</t>
        </is>
      </c>
      <c r="L1" s="9" t="inlineStr">
        <is>
          <t>Images</t>
        </is>
      </c>
      <c r="M1" s="9" t="inlineStr">
        <is>
          <t>No alt</t>
        </is>
      </c>
      <c r="N1" s="9" t="inlineStr">
        <is>
          <t>Indexable</t>
        </is>
      </c>
      <c r="O1" s="9" t="inlineStr">
        <is>
          <t>In sitemap</t>
        </is>
      </c>
      <c r="P1" s="9" t="inlineStr">
        <is>
          <t>Canonical</t>
        </is>
      </c>
      <c r="Q1" s="9" t="inlineStr">
        <is>
          <t>Schema</t>
        </is>
      </c>
      <c r="R1" s="9" t="inlineStr">
        <is>
          <t>TTFB ms</t>
        </is>
      </c>
      <c r="S1" s="9" t="inlineStr">
        <is>
          <t>HTML KB</t>
        </is>
      </c>
      <c r="T1" s="9" t="inlineStr">
        <is>
          <t>Rendered</t>
        </is>
      </c>
      <c r="U1" s="9" t="inlineStr">
        <is>
          <t>Type (Jev)</t>
        </is>
      </c>
      <c r="V1" s="9" t="inlineStr">
        <is>
          <t>Intent (Jev)</t>
        </is>
      </c>
      <c r="W1" s="9" t="inlineStr">
        <is>
          <t>Importance (Jev)</t>
        </is>
      </c>
      <c r="X1" s="9" t="inlineStr">
        <is>
          <t>Action (Jev)</t>
        </is>
      </c>
      <c r="Y1" s="9" t="inlineStr">
        <is>
          <t>Helpfulness (Jev)</t>
        </is>
      </c>
      <c r="Z1" s="9" t="inlineStr">
        <is>
          <t>Specificity (Jev)</t>
        </is>
      </c>
      <c r="AA1" s="9" t="inlineStr">
        <is>
          <t>Trust (Jev)</t>
        </is>
      </c>
      <c r="AB1" s="9" t="inlineStr">
        <is>
          <t>Citability (Jev)</t>
        </is>
      </c>
      <c r="AC1" s="9" t="inlineStr">
        <is>
          <t>Answer first (Jev)</t>
        </is>
      </c>
      <c r="AD1" s="9" t="inlineStr">
        <is>
          <t>Title fit (Jev)</t>
        </is>
      </c>
      <c r="AE1" s="9" t="inlineStr">
        <is>
          <t>Meta fit (Jev)</t>
        </is>
      </c>
      <c r="AF1" s="9" t="inlineStr">
        <is>
          <t>Next step (Jev)</t>
        </is>
      </c>
    </row>
    <row r="2">
      <c r="A2" s="14" t="inlineStr">
        <is>
          <t>http://119.91.205.130:9080/</t>
        </is>
      </c>
      <c r="B2" s="10" t="n">
        <v>200</v>
      </c>
      <c r="C2" s="10" t="n">
        <v>0</v>
      </c>
      <c r="D2" s="10" t="inlineStr">
        <is>
          <t>Fenghuai | Wheels, EV Housings, Custom Aluminum &amp; Safety Tires</t>
        </is>
      </c>
      <c r="E2" s="10" t="n">
        <v>62</v>
      </c>
      <c r="F2" s="10" t="n">
        <v>142</v>
      </c>
      <c r="G2" s="10" t="inlineStr">
        <is>
          <t>Automotive components backed by specialized manufacturing</t>
        </is>
      </c>
      <c r="H2" s="10" t="n">
        <v>1</v>
      </c>
      <c r="I2" s="10" t="n">
        <v>672</v>
      </c>
      <c r="J2" s="10" t="n">
        <v>59</v>
      </c>
      <c r="K2" s="10" t="n">
        <v>59</v>
      </c>
      <c r="L2" s="10" t="n">
        <v>8</v>
      </c>
      <c r="M2" s="10" t="n">
        <v>0</v>
      </c>
      <c r="N2" s="10" t="inlineStr">
        <is>
          <t>no</t>
        </is>
      </c>
      <c r="O2" s="10" t="inlineStr">
        <is>
          <t>yes</t>
        </is>
      </c>
      <c r="P2" s="10" t="inlineStr">
        <is>
          <t>http://119.91.205.130:9080/</t>
        </is>
      </c>
      <c r="Q2" s="10" t="inlineStr"/>
      <c r="R2" s="10" t="n">
        <v>340</v>
      </c>
      <c r="S2" s="10" t="n">
        <v>115</v>
      </c>
      <c r="T2" s="10" t="inlineStr">
        <is>
          <t>no</t>
        </is>
      </c>
      <c r="U2" s="10" t="inlineStr">
        <is>
          <t>homepage</t>
        </is>
      </c>
      <c r="V2" s="10" t="inlineStr">
        <is>
          <t>commercial</t>
        </is>
      </c>
      <c r="W2" s="18" t="n">
        <v>1</v>
      </c>
      <c r="X2" s="10" t="inlineStr">
        <is>
          <t>keep or improve</t>
        </is>
      </c>
      <c r="Y2" s="18" t="n">
        <v>0.83</v>
      </c>
      <c r="Z2" s="18" t="n">
        <v>0.6</v>
      </c>
      <c r="AA2" s="18" t="n">
        <v>0.3567</v>
      </c>
      <c r="AB2" s="18" t="n">
        <v>0.7333</v>
      </c>
      <c r="AC2" s="18" t="n">
        <v>0.84</v>
      </c>
      <c r="AD2" s="18" t="n">
        <v>0.68</v>
      </c>
      <c r="AE2" s="18" t="n">
        <v>0.6967</v>
      </c>
      <c r="AF2" s="18" t="n">
        <v>0.93</v>
      </c>
    </row>
    <row r="3">
      <c r="A3" s="14" t="inlineStr">
        <is>
          <t>http://119.91.205.130:9080/about</t>
        </is>
      </c>
      <c r="B3" s="10" t="n">
        <v>200</v>
      </c>
      <c r="C3" s="10" t="n">
        <v>1</v>
      </c>
      <c r="D3" s="10" t="inlineStr">
        <is>
          <t>About Fenghuai | Automotive Component Manufacturing | Fenghuai</t>
        </is>
      </c>
      <c r="E3" s="10" t="n">
        <v>62</v>
      </c>
      <c r="F3" s="10" t="n">
        <v>152</v>
      </c>
      <c r="G3" s="10" t="inlineStr">
        <is>
          <t>One Shenzhen project interface. Specialized manufacturing behind every line.</t>
        </is>
      </c>
      <c r="H3" s="10" t="n">
        <v>1</v>
      </c>
      <c r="I3" s="10" t="n">
        <v>1024</v>
      </c>
      <c r="J3" s="10" t="n">
        <v>59</v>
      </c>
      <c r="K3" s="10" t="n">
        <v>57</v>
      </c>
      <c r="L3" s="10" t="n">
        <v>12</v>
      </c>
      <c r="M3" s="10" t="n">
        <v>0</v>
      </c>
      <c r="N3" s="10" t="inlineStr">
        <is>
          <t>no</t>
        </is>
      </c>
      <c r="O3" s="10" t="inlineStr">
        <is>
          <t>yes</t>
        </is>
      </c>
      <c r="P3" s="10" t="n"/>
      <c r="Q3" s="10" t="inlineStr"/>
      <c r="R3" s="10" t="n">
        <v>190</v>
      </c>
      <c r="S3" s="10" t="n">
        <v>134</v>
      </c>
      <c r="T3" s="10" t="inlineStr">
        <is>
          <t>no</t>
        </is>
      </c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</row>
    <row r="4">
      <c r="A4" s="14" t="inlineStr">
        <is>
          <t>http://119.91.205.130:9080/capabilities</t>
        </is>
      </c>
      <c r="B4" s="10" t="n">
        <v>200</v>
      </c>
      <c r="C4" s="10" t="n">
        <v>1</v>
      </c>
      <c r="D4" s="10" t="inlineStr">
        <is>
          <t>Wheel Manufacturing &amp; Quality Capabilities | Fenghuai</t>
        </is>
      </c>
      <c r="E4" s="10" t="n">
        <v>53</v>
      </c>
      <c r="F4" s="10" t="n">
        <v>157</v>
      </c>
      <c r="G4" s="10" t="inlineStr">
        <is>
          <t>Engineering decisions first. Process evidence at every gate.</t>
        </is>
      </c>
      <c r="H4" s="10" t="n">
        <v>1</v>
      </c>
      <c r="I4" s="10" t="n">
        <v>664</v>
      </c>
      <c r="J4" s="10" t="n">
        <v>59</v>
      </c>
      <c r="K4" s="10" t="n">
        <v>53</v>
      </c>
      <c r="L4" s="10" t="n">
        <v>12</v>
      </c>
      <c r="M4" s="10" t="n">
        <v>0</v>
      </c>
      <c r="N4" s="10" t="inlineStr">
        <is>
          <t>no</t>
        </is>
      </c>
      <c r="O4" s="10" t="inlineStr">
        <is>
          <t>yes</t>
        </is>
      </c>
      <c r="P4" s="10" t="n"/>
      <c r="Q4" s="10" t="inlineStr"/>
      <c r="R4" s="10" t="n">
        <v>684</v>
      </c>
      <c r="S4" s="10" t="n">
        <v>116</v>
      </c>
      <c r="T4" s="10" t="inlineStr">
        <is>
          <t>no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</row>
    <row r="5">
      <c r="A5" s="14" t="inlineStr">
        <is>
          <t>http://119.91.205.130:9080/contact</t>
        </is>
      </c>
      <c r="B5" s="10" t="n">
        <v>200</v>
      </c>
      <c r="C5" s="10" t="n">
        <v>1</v>
      </c>
      <c r="D5" s="10" t="inlineStr">
        <is>
          <t>Contact Us — Request a Quote | Fenghuai</t>
        </is>
      </c>
      <c r="E5" s="10" t="n">
        <v>39</v>
      </c>
      <c r="F5" s="10" t="n">
        <v>142</v>
      </c>
      <c r="G5" s="10" t="inlineStr">
        <is>
          <t>Tell Us What You Need to Source or Develop</t>
        </is>
      </c>
      <c r="H5" s="10" t="n">
        <v>1</v>
      </c>
      <c r="I5" s="10" t="n">
        <v>493</v>
      </c>
      <c r="J5" s="10" t="n">
        <v>59</v>
      </c>
      <c r="K5" s="10" t="n">
        <v>52</v>
      </c>
      <c r="L5" s="10" t="n">
        <v>0</v>
      </c>
      <c r="M5" s="10" t="n">
        <v>0</v>
      </c>
      <c r="N5" s="10" t="inlineStr">
        <is>
          <t>no</t>
        </is>
      </c>
      <c r="O5" s="10" t="inlineStr">
        <is>
          <t>yes</t>
        </is>
      </c>
      <c r="P5" s="10" t="inlineStr">
        <is>
          <t>http://119.91.205.130:9080/contact</t>
        </is>
      </c>
      <c r="Q5" s="10" t="inlineStr"/>
      <c r="R5" s="10" t="n">
        <v>153</v>
      </c>
      <c r="S5" s="10" t="n">
        <v>98</v>
      </c>
      <c r="T5" s="10" t="inlineStr">
        <is>
          <t>no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</row>
    <row r="6">
      <c r="A6" s="14" t="inlineStr">
        <is>
          <t>http://119.91.205.130:9080/custom-development</t>
        </is>
      </c>
      <c r="B6" s="10" t="n">
        <v>200</v>
      </c>
      <c r="C6" s="10" t="n">
        <v>1</v>
      </c>
      <c r="D6" s="10" t="inlineStr">
        <is>
          <t>Custom Development — OEM, ODM &amp; Private Label | Fenghuai</t>
        </is>
      </c>
      <c r="E6" s="10" t="n">
        <v>56</v>
      </c>
      <c r="F6" s="10" t="n">
        <v>193</v>
      </c>
      <c r="G6" s="10" t="inlineStr">
        <is>
          <t>Built to Your Brand, Your Drawing, Your Specification</t>
        </is>
      </c>
      <c r="H6" s="10" t="n">
        <v>1</v>
      </c>
      <c r="I6" s="10" t="n">
        <v>652</v>
      </c>
      <c r="J6" s="10" t="n">
        <v>59</v>
      </c>
      <c r="K6" s="10" t="n">
        <v>53</v>
      </c>
      <c r="L6" s="10" t="n">
        <v>0</v>
      </c>
      <c r="M6" s="10" t="n">
        <v>0</v>
      </c>
      <c r="N6" s="10" t="inlineStr">
        <is>
          <t>no</t>
        </is>
      </c>
      <c r="O6" s="10" t="inlineStr">
        <is>
          <t>yes</t>
        </is>
      </c>
      <c r="P6" s="10" t="n"/>
      <c r="Q6" s="10" t="inlineStr"/>
      <c r="R6" s="10" t="n">
        <v>101</v>
      </c>
      <c r="S6" s="10" t="n">
        <v>80</v>
      </c>
      <c r="T6" s="10" t="inlineStr">
        <is>
          <t>no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</row>
    <row r="7">
      <c r="A7" s="14" t="inlineStr">
        <is>
          <t>http://119.91.205.130:9080/dealers</t>
        </is>
      </c>
      <c r="B7" s="10" t="n">
        <v>200</v>
      </c>
      <c r="C7" s="10" t="n">
        <v>1</v>
      </c>
      <c r="D7" s="10" t="inlineStr">
        <is>
          <t>Dealer Supply Programme — Supply Without Stock | Fenghuai</t>
        </is>
      </c>
      <c r="E7" s="10" t="n">
        <v>57</v>
      </c>
      <c r="F7" s="10" t="n">
        <v>174</v>
      </c>
      <c r="G7" s="10" t="inlineStr">
        <is>
          <t>Sell Custom Forged Wheels Without Stocking Them First</t>
        </is>
      </c>
      <c r="H7" s="10" t="n">
        <v>1</v>
      </c>
      <c r="I7" s="10" t="n">
        <v>1036</v>
      </c>
      <c r="J7" s="10" t="n">
        <v>59</v>
      </c>
      <c r="K7" s="10" t="n">
        <v>59</v>
      </c>
      <c r="L7" s="10" t="n">
        <v>0</v>
      </c>
      <c r="M7" s="10" t="n">
        <v>0</v>
      </c>
      <c r="N7" s="10" t="inlineStr">
        <is>
          <t>no</t>
        </is>
      </c>
      <c r="O7" s="10" t="inlineStr">
        <is>
          <t>no</t>
        </is>
      </c>
      <c r="P7" s="10" t="n"/>
      <c r="Q7" s="10" t="inlineStr"/>
      <c r="R7" s="10" t="n">
        <v>80</v>
      </c>
      <c r="S7" s="10" t="n">
        <v>111</v>
      </c>
      <c r="T7" s="10" t="inlineStr">
        <is>
          <t>no</t>
        </is>
      </c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</row>
    <row r="8">
      <c r="A8" s="14" t="inlineStr">
        <is>
          <t>http://119.91.205.130:9080/dealers/private-label</t>
        </is>
      </c>
      <c r="B8" s="10" t="n">
        <v>200</v>
      </c>
      <c r="C8" s="10" t="n">
        <v>1</v>
      </c>
      <c r="D8" s="10" t="inlineStr">
        <is>
          <t>Private Label Forged Wheels — Manufacture Under Your Own Brand | Fenghuai</t>
        </is>
      </c>
      <c r="E8" s="10" t="n">
        <v>73</v>
      </c>
      <c r="F8" s="10" t="n">
        <v>194</v>
      </c>
      <c r="G8" s="10" t="inlineStr">
        <is>
          <t>Your Brand on the Wheel, Never Ours</t>
        </is>
      </c>
      <c r="H8" s="10" t="n">
        <v>1</v>
      </c>
      <c r="I8" s="10" t="n">
        <v>876</v>
      </c>
      <c r="J8" s="10" t="n">
        <v>59</v>
      </c>
      <c r="K8" s="10" t="n">
        <v>57</v>
      </c>
      <c r="L8" s="10" t="n">
        <v>0</v>
      </c>
      <c r="M8" s="10" t="n">
        <v>0</v>
      </c>
      <c r="N8" s="10" t="inlineStr">
        <is>
          <t>no</t>
        </is>
      </c>
      <c r="O8" s="10" t="inlineStr">
        <is>
          <t>no</t>
        </is>
      </c>
      <c r="P8" s="10" t="n"/>
      <c r="Q8" s="10" t="inlineStr"/>
      <c r="R8" s="10" t="n">
        <v>121</v>
      </c>
      <c r="S8" s="10" t="n">
        <v>99</v>
      </c>
      <c r="T8" s="10" t="inlineStr">
        <is>
          <t>no</t>
        </is>
      </c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</row>
    <row r="9">
      <c r="A9" s="14" t="inlineStr">
        <is>
          <t>http://119.91.205.130:9080/insights</t>
        </is>
      </c>
      <c r="B9" s="10" t="n">
        <v>200</v>
      </c>
      <c r="C9" s="10" t="n">
        <v>1</v>
      </c>
      <c r="D9" s="10" t="inlineStr">
        <is>
          <t>Forged Wheel Insights — Fitment, Construction &amp; Import Guides | Fenghuai</t>
        </is>
      </c>
      <c r="E9" s="10" t="n">
        <v>72</v>
      </c>
      <c r="F9" s="10" t="n">
        <v>150</v>
      </c>
      <c r="G9" s="10" t="inlineStr">
        <is>
          <t>Guides for Dealers and Wheel Shops</t>
        </is>
      </c>
      <c r="H9" s="10" t="n">
        <v>1</v>
      </c>
      <c r="I9" s="10" t="n">
        <v>1890</v>
      </c>
      <c r="J9" s="10" t="n">
        <v>59</v>
      </c>
      <c r="K9" s="10" t="n">
        <v>63</v>
      </c>
      <c r="L9" s="10" t="n">
        <v>7</v>
      </c>
      <c r="M9" s="10" t="n">
        <v>0</v>
      </c>
      <c r="N9" s="10" t="inlineStr">
        <is>
          <t>no</t>
        </is>
      </c>
      <c r="O9" s="10" t="inlineStr">
        <is>
          <t>no</t>
        </is>
      </c>
      <c r="P9" s="10" t="n"/>
      <c r="Q9" s="10" t="inlineStr"/>
      <c r="R9" s="10" t="n">
        <v>216</v>
      </c>
      <c r="S9" s="10" t="n">
        <v>144</v>
      </c>
      <c r="T9" s="10" t="inlineStr">
        <is>
          <t>no</t>
        </is>
      </c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</row>
    <row r="10">
      <c r="A10" s="14" t="inlineStr">
        <is>
          <t>http://119.91.205.130:9080/insights/bolt-patterns</t>
        </is>
      </c>
      <c r="B10" s="10" t="n">
        <v>200</v>
      </c>
      <c r="C10" s="10" t="n">
        <v>1</v>
      </c>
      <c r="D10" s="10" t="inlineStr">
        <is>
          <t>Bolt Pattern Guides — 5x112, 5x114.3, 5x120 | Fenghuai</t>
        </is>
      </c>
      <c r="E10" s="10" t="n">
        <v>54</v>
      </c>
      <c r="F10" s="10" t="n">
        <v>157</v>
      </c>
      <c r="G10" s="10" t="inlineStr">
        <is>
          <t>Bolt Pattern Guides</t>
        </is>
      </c>
      <c r="H10" s="10" t="n">
        <v>1</v>
      </c>
      <c r="I10" s="10" t="n">
        <v>1049</v>
      </c>
      <c r="J10" s="10" t="n">
        <v>59</v>
      </c>
      <c r="K10" s="10" t="n">
        <v>61</v>
      </c>
      <c r="L10" s="10" t="n">
        <v>0</v>
      </c>
      <c r="M10" s="10" t="n">
        <v>0</v>
      </c>
      <c r="N10" s="10" t="inlineStr">
        <is>
          <t>no</t>
        </is>
      </c>
      <c r="O10" s="10" t="inlineStr">
        <is>
          <t>no</t>
        </is>
      </c>
      <c r="P10" s="10" t="n"/>
      <c r="Q10" s="10" t="inlineStr"/>
      <c r="R10" s="10" t="n">
        <v>107</v>
      </c>
      <c r="S10" s="10" t="n">
        <v>93</v>
      </c>
      <c r="T10" s="10" t="inlineStr">
        <is>
          <t>no</t>
        </is>
      </c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</row>
    <row r="11">
      <c r="A11" s="14" t="inlineStr">
        <is>
          <t>http://119.91.205.130:9080/products</t>
        </is>
      </c>
      <c r="B11" s="10" t="n">
        <v>200</v>
      </c>
      <c r="C11" s="10" t="n">
        <v>1</v>
      </c>
      <c r="D11" s="10" t="inlineStr">
        <is>
          <t>Products — Wheels, EV Components, Aluminum Parts &amp; Tires | Fenghuai</t>
        </is>
      </c>
      <c r="E11" s="10" t="n">
        <v>67</v>
      </c>
      <c r="F11" s="10" t="n">
        <v>141</v>
      </c>
      <c r="G11" s="10" t="inlineStr">
        <is>
          <t>Four product lines</t>
        </is>
      </c>
      <c r="H11" s="10" t="n">
        <v>1</v>
      </c>
      <c r="I11" s="10" t="n">
        <v>762</v>
      </c>
      <c r="J11" s="10" t="n">
        <v>59</v>
      </c>
      <c r="K11" s="10" t="n">
        <v>64</v>
      </c>
      <c r="L11" s="10" t="n">
        <v>4</v>
      </c>
      <c r="M11" s="10" t="n">
        <v>0</v>
      </c>
      <c r="N11" s="10" t="inlineStr">
        <is>
          <t>no</t>
        </is>
      </c>
      <c r="O11" s="10" t="inlineStr">
        <is>
          <t>yes</t>
        </is>
      </c>
      <c r="P11" s="10" t="n"/>
      <c r="Q11" s="10" t="inlineStr"/>
      <c r="R11" s="10" t="n">
        <v>387</v>
      </c>
      <c r="S11" s="10" t="n">
        <v>95</v>
      </c>
      <c r="T11" s="10" t="inlineStr">
        <is>
          <t>no</t>
        </is>
      </c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</row>
    <row r="12">
      <c r="A12" s="14" t="inlineStr">
        <is>
          <t>http://119.91.205.130:9080/products/custom-aluminum</t>
        </is>
      </c>
      <c r="B12" s="10" t="n">
        <v>200</v>
      </c>
      <c r="C12" s="10" t="n">
        <v>1</v>
      </c>
      <c r="D12" s="10" t="inlineStr">
        <is>
          <t>Custom Aluminum Components | Drawing &amp; Sample Assessment | Fenghuai</t>
        </is>
      </c>
      <c r="E12" s="10" t="n">
        <v>67</v>
      </c>
      <c r="F12" s="10" t="n">
        <v>169</v>
      </c>
      <c r="G12" s="10" t="inlineStr">
        <is>
          <t>Start with a drawing, 3D model or physical sample</t>
        </is>
      </c>
      <c r="H12" s="10" t="n">
        <v>1</v>
      </c>
      <c r="I12" s="10" t="n">
        <v>1265</v>
      </c>
      <c r="J12" s="10" t="n">
        <v>59</v>
      </c>
      <c r="K12" s="10" t="n">
        <v>62</v>
      </c>
      <c r="L12" s="10" t="n">
        <v>3</v>
      </c>
      <c r="M12" s="10" t="n">
        <v>0</v>
      </c>
      <c r="N12" s="10" t="inlineStr">
        <is>
          <t>no</t>
        </is>
      </c>
      <c r="O12" s="10" t="inlineStr">
        <is>
          <t>no</t>
        </is>
      </c>
      <c r="P12" s="10" t="n"/>
      <c r="Q12" s="10" t="inlineStr"/>
      <c r="R12" s="10" t="n">
        <v>686</v>
      </c>
      <c r="S12" s="10" t="n">
        <v>167</v>
      </c>
      <c r="T12" s="10" t="inlineStr">
        <is>
          <t>no</t>
        </is>
      </c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</row>
    <row r="13">
      <c r="A13" s="14" t="inlineStr">
        <is>
          <t>http://119.91.205.130:9080/products/ev-components</t>
        </is>
      </c>
      <c r="B13" s="10" t="n">
        <v>200</v>
      </c>
      <c r="C13" s="10" t="n">
        <v>1</v>
      </c>
      <c r="D13" s="10" t="inlineStr">
        <is>
          <t>EV Motor &amp; Controller Aluminum Housings | Engineering Assessment | Fenghuai</t>
        </is>
      </c>
      <c r="E13" s="10" t="n">
        <v>75</v>
      </c>
      <c r="F13" s="10" t="n">
        <v>181</v>
      </c>
      <c r="G13" s="10" t="inlineStr">
        <is>
          <t>Aluminum housings for EV motor and controller projects</t>
        </is>
      </c>
      <c r="H13" s="10" t="n">
        <v>1</v>
      </c>
      <c r="I13" s="10" t="n">
        <v>875</v>
      </c>
      <c r="J13" s="10" t="n">
        <v>59</v>
      </c>
      <c r="K13" s="10" t="n">
        <v>56</v>
      </c>
      <c r="L13" s="10" t="n">
        <v>5</v>
      </c>
      <c r="M13" s="10" t="n">
        <v>0</v>
      </c>
      <c r="N13" s="10" t="inlineStr">
        <is>
          <t>no</t>
        </is>
      </c>
      <c r="O13" s="10" t="inlineStr">
        <is>
          <t>yes</t>
        </is>
      </c>
      <c r="P13" s="10" t="inlineStr">
        <is>
          <t>http://119.91.205.130:9080/products/ev-components</t>
        </is>
      </c>
      <c r="Q13" s="10" t="inlineStr">
        <is>
          <t>Organization, Service</t>
        </is>
      </c>
      <c r="R13" s="10" t="n">
        <v>686</v>
      </c>
      <c r="S13" s="10" t="n">
        <v>127</v>
      </c>
      <c r="T13" s="10" t="inlineStr">
        <is>
          <t>no</t>
        </is>
      </c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</row>
    <row r="14">
      <c r="A14" s="14" t="inlineStr">
        <is>
          <t>http://119.91.205.130:9080/products/safety-tires</t>
        </is>
      </c>
      <c r="B14" s="10" t="n">
        <v>200</v>
      </c>
      <c r="C14" s="10" t="n">
        <v>1</v>
      </c>
      <c r="D14" s="10" t="inlineStr">
        <is>
          <t>Self-Sealing Tyres | Puncture Response &amp; Test Conditions | Fenghuai</t>
        </is>
      </c>
      <c r="E14" s="10" t="n">
        <v>67</v>
      </c>
      <c r="F14" s="10" t="n">
        <v>180</v>
      </c>
      <c r="G14" s="10" t="inlineStr">
        <is>
          <t>Self-sealing tyres for applicable tread punctures</t>
        </is>
      </c>
      <c r="H14" s="10" t="n">
        <v>1</v>
      </c>
      <c r="I14" s="10" t="n">
        <v>1123</v>
      </c>
      <c r="J14" s="10" t="n">
        <v>59</v>
      </c>
      <c r="K14" s="10" t="n">
        <v>56</v>
      </c>
      <c r="L14" s="10" t="n">
        <v>18</v>
      </c>
      <c r="M14" s="10" t="n">
        <v>0</v>
      </c>
      <c r="N14" s="10" t="inlineStr">
        <is>
          <t>no</t>
        </is>
      </c>
      <c r="O14" s="10" t="inlineStr">
        <is>
          <t>yes</t>
        </is>
      </c>
      <c r="P14" s="10" t="n"/>
      <c r="Q14" s="10" t="inlineStr"/>
      <c r="R14" s="10" t="n">
        <v>784</v>
      </c>
      <c r="S14" s="10" t="n">
        <v>167</v>
      </c>
      <c r="T14" s="10" t="inlineStr">
        <is>
          <t>no</t>
        </is>
      </c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</row>
    <row r="15">
      <c r="A15" s="14" t="inlineStr">
        <is>
          <t>http://119.91.205.130:9080/products/wheels</t>
        </is>
      </c>
      <c r="B15" s="10" t="n">
        <v>200</v>
      </c>
      <c r="C15" s="10" t="n">
        <v>1</v>
      </c>
      <c r="D15" s="10" t="inlineStr">
        <is>
          <t>Wheel Catalogue | Sizes, PCDs &amp; Production Specifications | Fenghuai</t>
        </is>
      </c>
      <c r="E15" s="10" t="n">
        <v>68</v>
      </c>
      <c r="F15" s="10" t="n">
        <v>148</v>
      </c>
      <c r="G15" s="10" t="inlineStr">
        <is>
          <t>Find a wheel by verified production specification</t>
        </is>
      </c>
      <c r="H15" s="10" t="n">
        <v>1</v>
      </c>
      <c r="I15" s="10" t="n">
        <v>1002</v>
      </c>
      <c r="J15" s="10" t="n">
        <v>59</v>
      </c>
      <c r="K15" s="10" t="n">
        <v>84</v>
      </c>
      <c r="L15" s="10" t="n">
        <v>25</v>
      </c>
      <c r="M15" s="10" t="n">
        <v>0</v>
      </c>
      <c r="N15" s="10" t="inlineStr">
        <is>
          <t>no</t>
        </is>
      </c>
      <c r="O15" s="10" t="inlineStr">
        <is>
          <t>yes</t>
        </is>
      </c>
      <c r="P15" s="10" t="inlineStr">
        <is>
          <t>http://119.91.205.130:9080/products/wheels</t>
        </is>
      </c>
      <c r="Q15" s="10" t="inlineStr">
        <is>
          <t>ItemList, ListItem</t>
        </is>
      </c>
      <c r="R15" s="10" t="n">
        <v>673</v>
      </c>
      <c r="S15" s="10" t="n">
        <v>416</v>
      </c>
      <c r="T15" s="10" t="inlineStr">
        <is>
          <t>no</t>
        </is>
      </c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</row>
    <row r="16">
      <c r="A16" s="14" t="inlineStr">
        <is>
          <t>http://119.91.205.130:9080/request-a-quote</t>
        </is>
      </c>
      <c r="B16" s="10" t="n">
        <v>200</v>
      </c>
      <c r="C16" s="10" t="n">
        <v>1</v>
      </c>
      <c r="D16" s="10" t="inlineStr">
        <is>
          <t>Request a Quote | Fenghuai</t>
        </is>
      </c>
      <c r="E16" s="10" t="n">
        <v>26</v>
      </c>
      <c r="F16" s="10" t="n">
        <v>145</v>
      </c>
      <c r="G16" s="10" t="inlineStr">
        <is>
          <t>Tell us what you need to source or develop</t>
        </is>
      </c>
      <c r="H16" s="10" t="n">
        <v>1</v>
      </c>
      <c r="I16" s="10" t="n">
        <v>227</v>
      </c>
      <c r="J16" s="10" t="n">
        <v>59</v>
      </c>
      <c r="K16" s="10" t="n">
        <v>52</v>
      </c>
      <c r="L16" s="10" t="n">
        <v>0</v>
      </c>
      <c r="M16" s="10" t="n">
        <v>0</v>
      </c>
      <c r="N16" s="10" t="inlineStr">
        <is>
          <t>no</t>
        </is>
      </c>
      <c r="O16" s="10" t="inlineStr">
        <is>
          <t>yes</t>
        </is>
      </c>
      <c r="P16" s="10" t="inlineStr">
        <is>
          <t>http://119.91.205.130:9080/request-a-quote</t>
        </is>
      </c>
      <c r="Q16" s="10" t="inlineStr"/>
      <c r="R16" s="10" t="n">
        <v>239</v>
      </c>
      <c r="S16" s="10" t="n">
        <v>76</v>
      </c>
      <c r="T16" s="10" t="inlineStr">
        <is>
          <t>no</t>
        </is>
      </c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</row>
    <row r="17">
      <c r="A17" s="14" t="inlineStr">
        <is>
          <t>http://119.91.205.130:9080/request-a-quote?from=home</t>
        </is>
      </c>
      <c r="B17" s="10" t="n">
        <v>200</v>
      </c>
      <c r="C17" s="10" t="n">
        <v>1</v>
      </c>
      <c r="D17" s="10" t="inlineStr">
        <is>
          <t>Request a Quote | Fenghuai</t>
        </is>
      </c>
      <c r="E17" s="10" t="n">
        <v>26</v>
      </c>
      <c r="F17" s="10" t="n">
        <v>145</v>
      </c>
      <c r="G17" s="10" t="inlineStr">
        <is>
          <t>Tell us what you need to source or develop</t>
        </is>
      </c>
      <c r="H17" s="10" t="n">
        <v>1</v>
      </c>
      <c r="I17" s="10" t="n">
        <v>227</v>
      </c>
      <c r="J17" s="10" t="n">
        <v>1</v>
      </c>
      <c r="K17" s="10" t="n">
        <v>52</v>
      </c>
      <c r="L17" s="10" t="n">
        <v>0</v>
      </c>
      <c r="M17" s="10" t="n">
        <v>0</v>
      </c>
      <c r="N17" s="10" t="inlineStr">
        <is>
          <t>no</t>
        </is>
      </c>
      <c r="O17" s="10" t="inlineStr">
        <is>
          <t>no</t>
        </is>
      </c>
      <c r="P17" s="10" t="inlineStr">
        <is>
          <t>http://119.91.205.130:9080/request-a-quote</t>
        </is>
      </c>
      <c r="Q17" s="10" t="inlineStr"/>
      <c r="R17" s="10" t="n">
        <v>200</v>
      </c>
      <c r="S17" s="10" t="n">
        <v>76</v>
      </c>
      <c r="T17" s="10" t="inlineStr">
        <is>
          <t>no</t>
        </is>
      </c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</row>
    <row r="18">
      <c r="A18" s="14" t="inlineStr">
        <is>
          <t>http://119.91.205.130:9080/support/privacy</t>
        </is>
      </c>
      <c r="B18" s="10" t="n">
        <v>200</v>
      </c>
      <c r="C18" s="10" t="n">
        <v>1</v>
      </c>
      <c r="D18" s="10" t="inlineStr">
        <is>
          <t>Staging Test Privacy Notice | Fenghuai | Fenghuai</t>
        </is>
      </c>
      <c r="E18" s="10" t="n">
        <v>49</v>
      </c>
      <c r="F18" s="10" t="n">
        <v>67</v>
      </c>
      <c r="G18" s="10" t="inlineStr">
        <is>
          <t>Privacy Policy</t>
        </is>
      </c>
      <c r="H18" s="10" t="n">
        <v>1</v>
      </c>
      <c r="I18" s="10" t="n">
        <v>1168</v>
      </c>
      <c r="J18" s="10" t="n">
        <v>59</v>
      </c>
      <c r="K18" s="10" t="n">
        <v>58</v>
      </c>
      <c r="L18" s="10" t="n">
        <v>0</v>
      </c>
      <c r="M18" s="10" t="n">
        <v>0</v>
      </c>
      <c r="N18" s="10" t="inlineStr">
        <is>
          <t>no</t>
        </is>
      </c>
      <c r="O18" s="10" t="inlineStr">
        <is>
          <t>no</t>
        </is>
      </c>
      <c r="P18" s="10" t="n"/>
      <c r="Q18" s="10" t="inlineStr"/>
      <c r="R18" s="10" t="n">
        <v>366</v>
      </c>
      <c r="S18" s="10" t="n">
        <v>105</v>
      </c>
      <c r="T18" s="10" t="inlineStr">
        <is>
          <t>no</t>
        </is>
      </c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</row>
    <row r="19">
      <c r="A19" s="14" t="inlineStr">
        <is>
          <t>http://119.91.205.130:9080/support/returns</t>
        </is>
      </c>
      <c r="B19" s="10" t="n">
        <v>200</v>
      </c>
      <c r="C19" s="10" t="n">
        <v>1</v>
      </c>
      <c r="D19" s="10" t="inlineStr">
        <is>
          <t>Return &amp; Refund Policy | Fenghuai</t>
        </is>
      </c>
      <c r="E19" s="10" t="n">
        <v>33</v>
      </c>
      <c r="F19" s="10" t="n">
        <v>118</v>
      </c>
      <c r="G19" s="10" t="inlineStr">
        <is>
          <t>Return &amp; Refund Policy</t>
        </is>
      </c>
      <c r="H19" s="10" t="n">
        <v>1</v>
      </c>
      <c r="I19" s="10" t="n">
        <v>785</v>
      </c>
      <c r="J19" s="10" t="n">
        <v>59</v>
      </c>
      <c r="K19" s="10" t="n">
        <v>57</v>
      </c>
      <c r="L19" s="10" t="n">
        <v>0</v>
      </c>
      <c r="M19" s="10" t="n">
        <v>0</v>
      </c>
      <c r="N19" s="10" t="inlineStr">
        <is>
          <t>no</t>
        </is>
      </c>
      <c r="O19" s="10" t="inlineStr">
        <is>
          <t>no</t>
        </is>
      </c>
      <c r="P19" s="10" t="n"/>
      <c r="Q19" s="10" t="inlineStr"/>
      <c r="R19" s="10" t="n">
        <v>286</v>
      </c>
      <c r="S19" s="10" t="n">
        <v>90</v>
      </c>
      <c r="T19" s="10" t="inlineStr">
        <is>
          <t>no</t>
        </is>
      </c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</row>
    <row r="20">
      <c r="A20" s="14" t="inlineStr">
        <is>
          <t>http://119.91.205.130:9080/support/shipping</t>
        </is>
      </c>
      <c r="B20" s="10" t="n">
        <v>200</v>
      </c>
      <c r="C20" s="10" t="n">
        <v>1</v>
      </c>
      <c r="D20" s="10" t="inlineStr">
        <is>
          <t>Shipping &amp; Packaging | Fenghuai</t>
        </is>
      </c>
      <c r="E20" s="10" t="n">
        <v>31</v>
      </c>
      <c r="F20" s="10" t="n">
        <v>110</v>
      </c>
      <c r="G20" s="10" t="inlineStr">
        <is>
          <t>Shipping &amp; Packaging</t>
        </is>
      </c>
      <c r="H20" s="10" t="n">
        <v>1</v>
      </c>
      <c r="I20" s="10" t="n">
        <v>938</v>
      </c>
      <c r="J20" s="10" t="n">
        <v>59</v>
      </c>
      <c r="K20" s="10" t="n">
        <v>57</v>
      </c>
      <c r="L20" s="10" t="n">
        <v>0</v>
      </c>
      <c r="M20" s="10" t="n">
        <v>0</v>
      </c>
      <c r="N20" s="10" t="inlineStr">
        <is>
          <t>no</t>
        </is>
      </c>
      <c r="O20" s="10" t="inlineStr">
        <is>
          <t>no</t>
        </is>
      </c>
      <c r="P20" s="10" t="n"/>
      <c r="Q20" s="10" t="inlineStr"/>
      <c r="R20" s="10" t="n">
        <v>331</v>
      </c>
      <c r="S20" s="10" t="n">
        <v>93</v>
      </c>
      <c r="T20" s="10" t="inlineStr">
        <is>
          <t>no</t>
        </is>
      </c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</row>
    <row r="21">
      <c r="A21" s="14" t="inlineStr">
        <is>
          <t>http://119.91.205.130:9080/support/terms</t>
        </is>
      </c>
      <c r="B21" s="10" t="n">
        <v>200</v>
      </c>
      <c r="C21" s="10" t="n">
        <v>1</v>
      </c>
      <c r="D21" s="10" t="inlineStr">
        <is>
          <t>Terms of Service | Fenghuai</t>
        </is>
      </c>
      <c r="E21" s="10" t="n">
        <v>27</v>
      </c>
      <c r="F21" s="10" t="n">
        <v>106</v>
      </c>
      <c r="G21" s="10" t="inlineStr">
        <is>
          <t>Terms of Service</t>
        </is>
      </c>
      <c r="H21" s="10" t="n">
        <v>1</v>
      </c>
      <c r="I21" s="10" t="n">
        <v>1175</v>
      </c>
      <c r="J21" s="10" t="n">
        <v>59</v>
      </c>
      <c r="K21" s="10" t="n">
        <v>57</v>
      </c>
      <c r="L21" s="10" t="n">
        <v>0</v>
      </c>
      <c r="M21" s="10" t="n">
        <v>0</v>
      </c>
      <c r="N21" s="10" t="inlineStr">
        <is>
          <t>no</t>
        </is>
      </c>
      <c r="O21" s="10" t="inlineStr">
        <is>
          <t>no</t>
        </is>
      </c>
      <c r="P21" s="10" t="n"/>
      <c r="Q21" s="10" t="inlineStr"/>
      <c r="R21" s="10" t="n">
        <v>275</v>
      </c>
      <c r="S21" s="10" t="n">
        <v>104</v>
      </c>
      <c r="T21" s="10" t="inlineStr">
        <is>
          <t>no</t>
        </is>
      </c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</row>
    <row r="22">
      <c r="A22" s="14" t="inlineStr">
        <is>
          <t>http://119.91.205.130:9080/support/warranty</t>
        </is>
      </c>
      <c r="B22" s="10" t="n">
        <v>200</v>
      </c>
      <c r="C22" s="10" t="n">
        <v>1</v>
      </c>
      <c r="D22" s="10" t="inlineStr">
        <is>
          <t>Warranty Policy | Fenghuai</t>
        </is>
      </c>
      <c r="E22" s="10" t="n">
        <v>26</v>
      </c>
      <c r="F22" s="10" t="n">
        <v>109</v>
      </c>
      <c r="G22" s="10" t="inlineStr">
        <is>
          <t>Warranty Policy</t>
        </is>
      </c>
      <c r="H22" s="10" t="n">
        <v>1</v>
      </c>
      <c r="I22" s="10" t="n">
        <v>961</v>
      </c>
      <c r="J22" s="10" t="n">
        <v>59</v>
      </c>
      <c r="K22" s="10" t="n">
        <v>57</v>
      </c>
      <c r="L22" s="10" t="n">
        <v>0</v>
      </c>
      <c r="M22" s="10" t="n">
        <v>0</v>
      </c>
      <c r="N22" s="10" t="inlineStr">
        <is>
          <t>no</t>
        </is>
      </c>
      <c r="O22" s="10" t="inlineStr">
        <is>
          <t>no</t>
        </is>
      </c>
      <c r="P22" s="10" t="n"/>
      <c r="Q22" s="10" t="inlineStr"/>
      <c r="R22" s="10" t="n">
        <v>260</v>
      </c>
      <c r="S22" s="10" t="n">
        <v>94</v>
      </c>
      <c r="T22" s="10" t="inlineStr">
        <is>
          <t>no</t>
        </is>
      </c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</row>
    <row r="23">
      <c r="A23" s="14" t="inlineStr">
        <is>
          <t>http://119.91.205.130:9080/tools/offset-calculator</t>
        </is>
      </c>
      <c r="B23" s="10" t="n">
        <v>200</v>
      </c>
      <c r="C23" s="10" t="n">
        <v>1</v>
      </c>
      <c r="D23" s="10" t="inlineStr">
        <is>
          <t>Wheel Offset Calculator — Compare Inner &amp; Outer Clearance | Fenghuai</t>
        </is>
      </c>
      <c r="E23" s="10" t="n">
        <v>68</v>
      </c>
      <c r="F23" s="10" t="n">
        <v>166</v>
      </c>
      <c r="G23" s="10" t="inlineStr">
        <is>
          <t>Wheel Offset Calculator</t>
        </is>
      </c>
      <c r="H23" s="10" t="n">
        <v>1</v>
      </c>
      <c r="I23" s="10" t="n">
        <v>1649</v>
      </c>
      <c r="J23" s="10" t="n">
        <v>59</v>
      </c>
      <c r="K23" s="10" t="n">
        <v>56</v>
      </c>
      <c r="L23" s="10" t="n">
        <v>0</v>
      </c>
      <c r="M23" s="10" t="n">
        <v>0</v>
      </c>
      <c r="N23" s="10" t="inlineStr">
        <is>
          <t>no</t>
        </is>
      </c>
      <c r="O23" s="10" t="inlineStr">
        <is>
          <t>yes</t>
        </is>
      </c>
      <c r="P23" s="10" t="n"/>
      <c r="Q23" s="10" t="inlineStr"/>
      <c r="R23" s="10" t="n">
        <v>192</v>
      </c>
      <c r="S23" s="10" t="n">
        <v>129</v>
      </c>
      <c r="T23" s="10" t="inlineStr">
        <is>
          <t>no</t>
        </is>
      </c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</row>
    <row r="24">
      <c r="A24" s="14" t="inlineStr">
        <is>
          <t>http://119.91.205.130:9080/gallery/finishes</t>
        </is>
      </c>
      <c r="B24" s="10" t="n">
        <v>200</v>
      </c>
      <c r="C24" s="10" t="n">
        <v>2</v>
      </c>
      <c r="D24" s="10" t="inlineStr">
        <is>
          <t>Finish Gallery — Brushed, Satin, Gloss &amp; Matte Wheel Finishes | Fenghuai</t>
        </is>
      </c>
      <c r="E24" s="10" t="n">
        <v>72</v>
      </c>
      <c r="F24" s="10" t="n">
        <v>175</v>
      </c>
      <c r="G24" s="10" t="inlineStr">
        <is>
          <t>Finishes</t>
        </is>
      </c>
      <c r="H24" s="10" t="n">
        <v>1</v>
      </c>
      <c r="I24" s="10" t="n">
        <v>375</v>
      </c>
      <c r="J24" s="10" t="n">
        <v>1</v>
      </c>
      <c r="K24" s="10" t="n">
        <v>55</v>
      </c>
      <c r="L24" s="10" t="n">
        <v>0</v>
      </c>
      <c r="M24" s="10" t="n">
        <v>0</v>
      </c>
      <c r="N24" s="10" t="inlineStr">
        <is>
          <t>no</t>
        </is>
      </c>
      <c r="O24" s="10" t="inlineStr">
        <is>
          <t>no</t>
        </is>
      </c>
      <c r="P24" s="10" t="n"/>
      <c r="Q24" s="10" t="inlineStr"/>
      <c r="R24" s="10" t="n">
        <v>267</v>
      </c>
      <c r="S24" s="10" t="n">
        <v>78</v>
      </c>
      <c r="T24" s="10" t="inlineStr">
        <is>
          <t>no</t>
        </is>
      </c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</row>
    <row r="25">
      <c r="A25" s="14" t="inlineStr">
        <is>
          <t>http://119.91.205.130:9080/products/wheels/12</t>
        </is>
      </c>
      <c r="B25" s="10" t="n">
        <v>200</v>
      </c>
      <c r="C25" s="10" t="n">
        <v>2</v>
      </c>
      <c r="D25" s="10" t="inlineStr">
        <is>
          <t>12 Wheel Specifications &amp; Configurations | Fenghuai</t>
        </is>
      </c>
      <c r="E25" s="10" t="n">
        <v>51</v>
      </c>
      <c r="F25" s="10" t="n">
        <v>171</v>
      </c>
      <c r="G25" s="10" t="inlineStr">
        <is>
          <t>12</t>
        </is>
      </c>
      <c r="H25" s="10" t="n">
        <v>1</v>
      </c>
      <c r="I25" s="10" t="n">
        <v>512</v>
      </c>
      <c r="J25" s="10" t="n">
        <v>5</v>
      </c>
      <c r="K25" s="10" t="n">
        <v>56</v>
      </c>
      <c r="L25" s="10" t="n">
        <v>4</v>
      </c>
      <c r="M25" s="10" t="n">
        <v>0</v>
      </c>
      <c r="N25" s="10" t="inlineStr">
        <is>
          <t>no</t>
        </is>
      </c>
      <c r="O25" s="10" t="inlineStr">
        <is>
          <t>yes</t>
        </is>
      </c>
      <c r="P25" s="10" t="inlineStr">
        <is>
          <t>http://119.91.205.130:9080/products/wheels/12</t>
        </is>
      </c>
      <c r="Q25" s="10" t="inlineStr">
        <is>
          <t>Brand, Product, PropertyValue</t>
        </is>
      </c>
      <c r="R25" s="10" t="n">
        <v>214</v>
      </c>
      <c r="S25" s="10" t="n">
        <v>116</v>
      </c>
      <c r="T25" s="10" t="inlineStr">
        <is>
          <t>no</t>
        </is>
      </c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</row>
    <row r="26">
      <c r="A26" s="14" t="inlineStr">
        <is>
          <t>http://119.91.205.130:9080/products/wheels/260201004</t>
        </is>
      </c>
      <c r="B26" s="10" t="n">
        <v>200</v>
      </c>
      <c r="C26" s="10" t="n">
        <v>2</v>
      </c>
      <c r="D26" s="10" t="inlineStr">
        <is>
          <t>260201004 Wheel Specifications &amp; Configurations | Fenghuai</t>
        </is>
      </c>
      <c r="E26" s="10" t="n">
        <v>58</v>
      </c>
      <c r="F26" s="10" t="n">
        <v>178</v>
      </c>
      <c r="G26" s="10" t="inlineStr">
        <is>
          <t>260201004</t>
        </is>
      </c>
      <c r="H26" s="10" t="n">
        <v>1</v>
      </c>
      <c r="I26" s="10" t="n">
        <v>530</v>
      </c>
      <c r="J26" s="10" t="n">
        <v>3</v>
      </c>
      <c r="K26" s="10" t="n">
        <v>56</v>
      </c>
      <c r="L26" s="10" t="n">
        <v>4</v>
      </c>
      <c r="M26" s="10" t="n">
        <v>0</v>
      </c>
      <c r="N26" s="10" t="inlineStr">
        <is>
          <t>no</t>
        </is>
      </c>
      <c r="O26" s="10" t="inlineStr">
        <is>
          <t>yes</t>
        </is>
      </c>
      <c r="P26" s="10" t="inlineStr">
        <is>
          <t>http://119.91.205.130:9080/products/wheels/260201004</t>
        </is>
      </c>
      <c r="Q26" s="10" t="inlineStr">
        <is>
          <t>Brand, Product, PropertyValue</t>
        </is>
      </c>
      <c r="R26" s="10" t="n">
        <v>391</v>
      </c>
      <c r="S26" s="10" t="n">
        <v>119</v>
      </c>
      <c r="T26" s="10" t="inlineStr">
        <is>
          <t>no</t>
        </is>
      </c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</row>
    <row r="27">
      <c r="A27" s="14" t="inlineStr">
        <is>
          <t>http://119.91.205.130:9080/products/wheels/260202003</t>
        </is>
      </c>
      <c r="B27" s="10" t="n">
        <v>200</v>
      </c>
      <c r="C27" s="10" t="n">
        <v>2</v>
      </c>
      <c r="D27" s="10" t="inlineStr">
        <is>
          <t>260202003 Wheel Specifications &amp; Configurations | Fenghuai</t>
        </is>
      </c>
      <c r="E27" s="10" t="n">
        <v>58</v>
      </c>
      <c r="F27" s="10" t="n">
        <v>178</v>
      </c>
      <c r="G27" s="10" t="inlineStr">
        <is>
          <t>260202003</t>
        </is>
      </c>
      <c r="H27" s="10" t="n">
        <v>1</v>
      </c>
      <c r="I27" s="10" t="n">
        <v>507</v>
      </c>
      <c r="J27" s="10" t="n">
        <v>3</v>
      </c>
      <c r="K27" s="10" t="n">
        <v>56</v>
      </c>
      <c r="L27" s="10" t="n">
        <v>4</v>
      </c>
      <c r="M27" s="10" t="n">
        <v>0</v>
      </c>
      <c r="N27" s="10" t="inlineStr">
        <is>
          <t>no</t>
        </is>
      </c>
      <c r="O27" s="10" t="inlineStr">
        <is>
          <t>yes</t>
        </is>
      </c>
      <c r="P27" s="10" t="inlineStr">
        <is>
          <t>http://119.91.205.130:9080/products/wheels/260202003</t>
        </is>
      </c>
      <c r="Q27" s="10" t="inlineStr">
        <is>
          <t>Brand, Product, PropertyValue</t>
        </is>
      </c>
      <c r="R27" s="10" t="n">
        <v>367</v>
      </c>
      <c r="S27" s="10" t="n">
        <v>117</v>
      </c>
      <c r="T27" s="10" t="inlineStr">
        <is>
          <t>no</t>
        </is>
      </c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</row>
    <row r="28">
      <c r="A28" s="14" t="inlineStr">
        <is>
          <t>http://119.91.205.130:9080/products/wheels/260203003</t>
        </is>
      </c>
      <c r="B28" s="10" t="n">
        <v>200</v>
      </c>
      <c r="C28" s="10" t="n">
        <v>2</v>
      </c>
      <c r="D28" s="10" t="inlineStr">
        <is>
          <t>260203003 Wheel Specifications &amp; Configurations | Fenghuai</t>
        </is>
      </c>
      <c r="E28" s="10" t="n">
        <v>58</v>
      </c>
      <c r="F28" s="10" t="n">
        <v>178</v>
      </c>
      <c r="G28" s="10" t="inlineStr">
        <is>
          <t>260203003</t>
        </is>
      </c>
      <c r="H28" s="10" t="n">
        <v>1</v>
      </c>
      <c r="I28" s="10" t="n">
        <v>507</v>
      </c>
      <c r="J28" s="10" t="n">
        <v>3</v>
      </c>
      <c r="K28" s="10" t="n">
        <v>56</v>
      </c>
      <c r="L28" s="10" t="n">
        <v>4</v>
      </c>
      <c r="M28" s="10" t="n">
        <v>0</v>
      </c>
      <c r="N28" s="10" t="inlineStr">
        <is>
          <t>no</t>
        </is>
      </c>
      <c r="O28" s="10" t="inlineStr">
        <is>
          <t>yes</t>
        </is>
      </c>
      <c r="P28" s="10" t="inlineStr">
        <is>
          <t>http://119.91.205.130:9080/products/wheels/260203003</t>
        </is>
      </c>
      <c r="Q28" s="10" t="inlineStr">
        <is>
          <t>Brand, Product, PropertyValue</t>
        </is>
      </c>
      <c r="R28" s="10" t="n">
        <v>389</v>
      </c>
      <c r="S28" s="10" t="n">
        <v>117</v>
      </c>
      <c r="T28" s="10" t="inlineStr">
        <is>
          <t>no</t>
        </is>
      </c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</row>
    <row r="29">
      <c r="A29" s="14" t="inlineStr">
        <is>
          <t>http://119.91.205.130:9080/products/wheels/a015</t>
        </is>
      </c>
      <c r="B29" s="10" t="n">
        <v>200</v>
      </c>
      <c r="C29" s="10" t="n">
        <v>2</v>
      </c>
      <c r="D29" s="10" t="inlineStr">
        <is>
          <t>A015 Wheel Specifications &amp; Configurations | Fenghuai</t>
        </is>
      </c>
      <c r="E29" s="10" t="n">
        <v>53</v>
      </c>
      <c r="F29" s="10" t="n">
        <v>173</v>
      </c>
      <c r="G29" s="10" t="inlineStr">
        <is>
          <t>A015</t>
        </is>
      </c>
      <c r="H29" s="10" t="n">
        <v>1</v>
      </c>
      <c r="I29" s="10" t="n">
        <v>633</v>
      </c>
      <c r="J29" s="10" t="n">
        <v>7</v>
      </c>
      <c r="K29" s="10" t="n">
        <v>56</v>
      </c>
      <c r="L29" s="10" t="n">
        <v>4</v>
      </c>
      <c r="M29" s="10" t="n">
        <v>0</v>
      </c>
      <c r="N29" s="10" t="inlineStr">
        <is>
          <t>no</t>
        </is>
      </c>
      <c r="O29" s="10" t="inlineStr">
        <is>
          <t>yes</t>
        </is>
      </c>
      <c r="P29" s="10" t="inlineStr">
        <is>
          <t>http://119.91.205.130:9080/products/wheels/a015</t>
        </is>
      </c>
      <c r="Q29" s="10" t="inlineStr">
        <is>
          <t>Brand, Product, PropertyValue</t>
        </is>
      </c>
      <c r="R29" s="10" t="n">
        <v>323</v>
      </c>
      <c r="S29" s="10" t="n">
        <v>124</v>
      </c>
      <c r="T29" s="10" t="inlineStr">
        <is>
          <t>no</t>
        </is>
      </c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</row>
    <row r="30">
      <c r="A30" s="14" t="inlineStr">
        <is>
          <t>http://119.91.205.130:9080/products/wheels/a091f</t>
        </is>
      </c>
      <c r="B30" s="10" t="n">
        <v>200</v>
      </c>
      <c r="C30" s="10" t="n">
        <v>2</v>
      </c>
      <c r="D30" s="10" t="inlineStr">
        <is>
          <t>A091F Wheel Specifications &amp; Configurations | Fenghuai</t>
        </is>
      </c>
      <c r="E30" s="10" t="n">
        <v>54</v>
      </c>
      <c r="F30" s="10" t="n">
        <v>174</v>
      </c>
      <c r="G30" s="10" t="inlineStr">
        <is>
          <t>A091F</t>
        </is>
      </c>
      <c r="H30" s="10" t="n">
        <v>1</v>
      </c>
      <c r="I30" s="10" t="n">
        <v>510</v>
      </c>
      <c r="J30" s="10" t="n">
        <v>5</v>
      </c>
      <c r="K30" s="10" t="n">
        <v>56</v>
      </c>
      <c r="L30" s="10" t="n">
        <v>4</v>
      </c>
      <c r="M30" s="10" t="n">
        <v>0</v>
      </c>
      <c r="N30" s="10" t="inlineStr">
        <is>
          <t>no</t>
        </is>
      </c>
      <c r="O30" s="10" t="inlineStr">
        <is>
          <t>yes</t>
        </is>
      </c>
      <c r="P30" s="10" t="inlineStr">
        <is>
          <t>http://119.91.205.130:9080/products/wheels/a091f</t>
        </is>
      </c>
      <c r="Q30" s="10" t="inlineStr">
        <is>
          <t>Brand, Product, PropertyValue</t>
        </is>
      </c>
      <c r="R30" s="10" t="n">
        <v>389</v>
      </c>
      <c r="S30" s="10" t="n">
        <v>116</v>
      </c>
      <c r="T30" s="10" t="inlineStr">
        <is>
          <t>no</t>
        </is>
      </c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</row>
    <row r="31">
      <c r="A31" s="14" t="inlineStr">
        <is>
          <t>http://119.91.205.130:9080/products/wheels/av08</t>
        </is>
      </c>
      <c r="B31" s="10" t="n">
        <v>200</v>
      </c>
      <c r="C31" s="10" t="n">
        <v>2</v>
      </c>
      <c r="D31" s="10" t="inlineStr">
        <is>
          <t>AV08 Wheel Specifications &amp; Configurations | Fenghuai</t>
        </is>
      </c>
      <c r="E31" s="10" t="n">
        <v>53</v>
      </c>
      <c r="F31" s="10" t="n">
        <v>173</v>
      </c>
      <c r="G31" s="10" t="inlineStr">
        <is>
          <t>AV08</t>
        </is>
      </c>
      <c r="H31" s="10" t="n">
        <v>1</v>
      </c>
      <c r="I31" s="10" t="n">
        <v>630</v>
      </c>
      <c r="J31" s="10" t="n">
        <v>2</v>
      </c>
      <c r="K31" s="10" t="n">
        <v>56</v>
      </c>
      <c r="L31" s="10" t="n">
        <v>4</v>
      </c>
      <c r="M31" s="10" t="n">
        <v>0</v>
      </c>
      <c r="N31" s="10" t="inlineStr">
        <is>
          <t>no</t>
        </is>
      </c>
      <c r="O31" s="10" t="inlineStr">
        <is>
          <t>yes</t>
        </is>
      </c>
      <c r="P31" s="10" t="inlineStr">
        <is>
          <t>http://119.91.205.130:9080/products/wheels/av08</t>
        </is>
      </c>
      <c r="Q31" s="10" t="inlineStr">
        <is>
          <t>Brand, Product, PropertyValue</t>
        </is>
      </c>
      <c r="R31" s="10" t="n">
        <v>137</v>
      </c>
      <c r="S31" s="10" t="n">
        <v>124</v>
      </c>
      <c r="T31" s="10" t="inlineStr">
        <is>
          <t>no</t>
        </is>
      </c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</row>
    <row r="32">
      <c r="A32" s="14" t="inlineStr">
        <is>
          <t>http://119.91.205.130:9080/products/wheels/cg02b</t>
        </is>
      </c>
      <c r="B32" s="10" t="n">
        <v>200</v>
      </c>
      <c r="C32" s="10" t="n">
        <v>2</v>
      </c>
      <c r="D32" s="10" t="inlineStr">
        <is>
          <t>CG02B Wheel Specifications &amp; Configurations | Fenghuai</t>
        </is>
      </c>
      <c r="E32" s="10" t="n">
        <v>54</v>
      </c>
      <c r="F32" s="10" t="n">
        <v>174</v>
      </c>
      <c r="G32" s="10" t="inlineStr">
        <is>
          <t>CG02B</t>
        </is>
      </c>
      <c r="H32" s="10" t="n">
        <v>1</v>
      </c>
      <c r="I32" s="10" t="n">
        <v>538</v>
      </c>
      <c r="J32" s="10" t="n">
        <v>5</v>
      </c>
      <c r="K32" s="10" t="n">
        <v>56</v>
      </c>
      <c r="L32" s="10" t="n">
        <v>4</v>
      </c>
      <c r="M32" s="10" t="n">
        <v>0</v>
      </c>
      <c r="N32" s="10" t="inlineStr">
        <is>
          <t>no</t>
        </is>
      </c>
      <c r="O32" s="10" t="inlineStr">
        <is>
          <t>yes</t>
        </is>
      </c>
      <c r="P32" s="10" t="inlineStr">
        <is>
          <t>http://119.91.205.130:9080/products/wheels/cg02b</t>
        </is>
      </c>
      <c r="Q32" s="10" t="inlineStr">
        <is>
          <t>Brand, Product, PropertyValue</t>
        </is>
      </c>
      <c r="R32" s="10" t="n">
        <v>193</v>
      </c>
      <c r="S32" s="10" t="n">
        <v>118</v>
      </c>
      <c r="T32" s="10" t="inlineStr">
        <is>
          <t>no</t>
        </is>
      </c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</row>
    <row r="33">
      <c r="A33" s="14" t="inlineStr">
        <is>
          <t>http://119.91.205.130:9080/products/wheels/cg02p</t>
        </is>
      </c>
      <c r="B33" s="10" t="n">
        <v>200</v>
      </c>
      <c r="C33" s="10" t="n">
        <v>2</v>
      </c>
      <c r="D33" s="10" t="inlineStr">
        <is>
          <t>CG02P Wheel Specifications &amp; Configurations | Fenghuai</t>
        </is>
      </c>
      <c r="E33" s="10" t="n">
        <v>54</v>
      </c>
      <c r="F33" s="10" t="n">
        <v>174</v>
      </c>
      <c r="G33" s="10" t="inlineStr">
        <is>
          <t>CG02P</t>
        </is>
      </c>
      <c r="H33" s="10" t="n">
        <v>1</v>
      </c>
      <c r="I33" s="10" t="n">
        <v>538</v>
      </c>
      <c r="J33" s="10" t="n">
        <v>3</v>
      </c>
      <c r="K33" s="10" t="n">
        <v>56</v>
      </c>
      <c r="L33" s="10" t="n">
        <v>4</v>
      </c>
      <c r="M33" s="10" t="n">
        <v>0</v>
      </c>
      <c r="N33" s="10" t="inlineStr">
        <is>
          <t>no</t>
        </is>
      </c>
      <c r="O33" s="10" t="inlineStr">
        <is>
          <t>yes</t>
        </is>
      </c>
      <c r="P33" s="10" t="inlineStr">
        <is>
          <t>http://119.91.205.130:9080/products/wheels/cg02p</t>
        </is>
      </c>
      <c r="Q33" s="10" t="inlineStr">
        <is>
          <t>Brand, Product, PropertyValue</t>
        </is>
      </c>
      <c r="R33" s="10" t="n">
        <v>279</v>
      </c>
      <c r="S33" s="10" t="n">
        <v>118</v>
      </c>
      <c r="T33" s="10" t="inlineStr">
        <is>
          <t>no</t>
        </is>
      </c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</row>
    <row r="34">
      <c r="A34" s="14" t="inlineStr">
        <is>
          <t>http://119.91.205.130:9080/products/wheels/cjf015</t>
        </is>
      </c>
      <c r="B34" s="10" t="n">
        <v>200</v>
      </c>
      <c r="C34" s="10" t="n">
        <v>2</v>
      </c>
      <c r="D34" s="10" t="inlineStr">
        <is>
          <t>CJF015 Wheel Specifications &amp; Configurations | Fenghuai</t>
        </is>
      </c>
      <c r="E34" s="10" t="n">
        <v>55</v>
      </c>
      <c r="F34" s="10" t="n">
        <v>175</v>
      </c>
      <c r="G34" s="10" t="inlineStr">
        <is>
          <t>CJF015</t>
        </is>
      </c>
      <c r="H34" s="10" t="n">
        <v>1</v>
      </c>
      <c r="I34" s="10" t="n">
        <v>544</v>
      </c>
      <c r="J34" s="10" t="n">
        <v>2</v>
      </c>
      <c r="K34" s="10" t="n">
        <v>56</v>
      </c>
      <c r="L34" s="10" t="n">
        <v>4</v>
      </c>
      <c r="M34" s="10" t="n">
        <v>0</v>
      </c>
      <c r="N34" s="10" t="inlineStr">
        <is>
          <t>no</t>
        </is>
      </c>
      <c r="O34" s="10" t="inlineStr">
        <is>
          <t>yes</t>
        </is>
      </c>
      <c r="P34" s="10" t="inlineStr">
        <is>
          <t>http://119.91.205.130:9080/products/wheels/cjf015</t>
        </is>
      </c>
      <c r="Q34" s="10" t="inlineStr">
        <is>
          <t>Brand, Product, PropertyValue</t>
        </is>
      </c>
      <c r="R34" s="10" t="n">
        <v>307</v>
      </c>
      <c r="S34" s="10" t="n">
        <v>119</v>
      </c>
      <c r="T34" s="10" t="inlineStr">
        <is>
          <t>no</t>
        </is>
      </c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</row>
    <row r="35">
      <c r="A35" s="14" t="inlineStr">
        <is>
          <t>http://119.91.205.130:9080/products/wheels/dim057</t>
        </is>
      </c>
      <c r="B35" s="10" t="n">
        <v>200</v>
      </c>
      <c r="C35" s="10" t="n">
        <v>2</v>
      </c>
      <c r="D35" s="10" t="inlineStr">
        <is>
          <t>DIM057 Wheel Specifications &amp; Configurations | Fenghuai</t>
        </is>
      </c>
      <c r="E35" s="10" t="n">
        <v>55</v>
      </c>
      <c r="F35" s="10" t="n">
        <v>175</v>
      </c>
      <c r="G35" s="10" t="inlineStr">
        <is>
          <t>DIM057</t>
        </is>
      </c>
      <c r="H35" s="10" t="n">
        <v>1</v>
      </c>
      <c r="I35" s="10" t="n">
        <v>827</v>
      </c>
      <c r="J35" s="10" t="n">
        <v>3</v>
      </c>
      <c r="K35" s="10" t="n">
        <v>56</v>
      </c>
      <c r="L35" s="10" t="n">
        <v>4</v>
      </c>
      <c r="M35" s="10" t="n">
        <v>0</v>
      </c>
      <c r="N35" s="10" t="inlineStr">
        <is>
          <t>no</t>
        </is>
      </c>
      <c r="O35" s="10" t="inlineStr">
        <is>
          <t>yes</t>
        </is>
      </c>
      <c r="P35" s="10" t="inlineStr">
        <is>
          <t>http://119.91.205.130:9080/products/wheels/dim057</t>
        </is>
      </c>
      <c r="Q35" s="10" t="inlineStr">
        <is>
          <t>Brand, Product, PropertyValue</t>
        </is>
      </c>
      <c r="R35" s="10" t="n">
        <v>289</v>
      </c>
      <c r="S35" s="10" t="n">
        <v>135</v>
      </c>
      <c r="T35" s="10" t="inlineStr">
        <is>
          <t>no</t>
        </is>
      </c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</row>
    <row r="36">
      <c r="A36" s="14" t="inlineStr">
        <is>
          <t>http://119.91.205.130:9080/products/wheels/dim5014</t>
        </is>
      </c>
      <c r="B36" s="10" t="n">
        <v>200</v>
      </c>
      <c r="C36" s="10" t="n">
        <v>2</v>
      </c>
      <c r="D36" s="10" t="inlineStr">
        <is>
          <t>DIM5014 Wheel Specifications &amp; Configurations | Fenghuai</t>
        </is>
      </c>
      <c r="E36" s="10" t="n">
        <v>56</v>
      </c>
      <c r="F36" s="10" t="n">
        <v>176</v>
      </c>
      <c r="G36" s="10" t="inlineStr">
        <is>
          <t>DIM5014</t>
        </is>
      </c>
      <c r="H36" s="10" t="n">
        <v>1</v>
      </c>
      <c r="I36" s="10" t="n">
        <v>627</v>
      </c>
      <c r="J36" s="10" t="n">
        <v>3</v>
      </c>
      <c r="K36" s="10" t="n">
        <v>56</v>
      </c>
      <c r="L36" s="10" t="n">
        <v>4</v>
      </c>
      <c r="M36" s="10" t="n">
        <v>0</v>
      </c>
      <c r="N36" s="10" t="inlineStr">
        <is>
          <t>no</t>
        </is>
      </c>
      <c r="O36" s="10" t="inlineStr">
        <is>
          <t>yes</t>
        </is>
      </c>
      <c r="P36" s="10" t="inlineStr">
        <is>
          <t>http://119.91.205.130:9080/products/wheels/dim5014</t>
        </is>
      </c>
      <c r="Q36" s="10" t="inlineStr">
        <is>
          <t>Brand, Product, PropertyValue</t>
        </is>
      </c>
      <c r="R36" s="10" t="n">
        <v>296</v>
      </c>
      <c r="S36" s="10" t="n">
        <v>124</v>
      </c>
      <c r="T36" s="10" t="inlineStr">
        <is>
          <t>no</t>
        </is>
      </c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</row>
    <row r="37">
      <c r="A37" s="14" t="inlineStr">
        <is>
          <t>http://119.91.205.130:9080/products/wheels/dim5018</t>
        </is>
      </c>
      <c r="B37" s="10" t="n">
        <v>200</v>
      </c>
      <c r="C37" s="10" t="n">
        <v>2</v>
      </c>
      <c r="D37" s="10" t="inlineStr">
        <is>
          <t>DIM5018 Wheel Specifications &amp; Configurations | Fenghuai</t>
        </is>
      </c>
      <c r="E37" s="10" t="n">
        <v>56</v>
      </c>
      <c r="F37" s="10" t="n">
        <v>176</v>
      </c>
      <c r="G37" s="10" t="inlineStr">
        <is>
          <t>DIM5018</t>
        </is>
      </c>
      <c r="H37" s="10" t="n">
        <v>1</v>
      </c>
      <c r="I37" s="10" t="n">
        <v>592</v>
      </c>
      <c r="J37" s="10" t="n">
        <v>3</v>
      </c>
      <c r="K37" s="10" t="n">
        <v>56</v>
      </c>
      <c r="L37" s="10" t="n">
        <v>4</v>
      </c>
      <c r="M37" s="10" t="n">
        <v>0</v>
      </c>
      <c r="N37" s="10" t="inlineStr">
        <is>
          <t>no</t>
        </is>
      </c>
      <c r="O37" s="10" t="inlineStr">
        <is>
          <t>yes</t>
        </is>
      </c>
      <c r="P37" s="10" t="inlineStr">
        <is>
          <t>http://119.91.205.130:9080/products/wheels/dim5018</t>
        </is>
      </c>
      <c r="Q37" s="10" t="inlineStr">
        <is>
          <t>Brand, Product, PropertyValue</t>
        </is>
      </c>
      <c r="R37" s="10" t="n">
        <v>203</v>
      </c>
      <c r="S37" s="10" t="n">
        <v>122</v>
      </c>
      <c r="T37" s="10" t="inlineStr">
        <is>
          <t>no</t>
        </is>
      </c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</row>
    <row r="38">
      <c r="A38" s="14" t="inlineStr">
        <is>
          <t>http://119.91.205.130:9080/products/wheels/dim687</t>
        </is>
      </c>
      <c r="B38" s="10" t="n">
        <v>200</v>
      </c>
      <c r="C38" s="10" t="n">
        <v>2</v>
      </c>
      <c r="D38" s="10" t="inlineStr">
        <is>
          <t>DIM687 Wheel Specifications &amp; Configurations | Fenghuai</t>
        </is>
      </c>
      <c r="E38" s="10" t="n">
        <v>55</v>
      </c>
      <c r="F38" s="10" t="n">
        <v>175</v>
      </c>
      <c r="G38" s="10" t="inlineStr">
        <is>
          <t>DIM687</t>
        </is>
      </c>
      <c r="H38" s="10" t="n">
        <v>1</v>
      </c>
      <c r="I38" s="10" t="n">
        <v>545</v>
      </c>
      <c r="J38" s="10" t="n">
        <v>3</v>
      </c>
      <c r="K38" s="10" t="n">
        <v>56</v>
      </c>
      <c r="L38" s="10" t="n">
        <v>4</v>
      </c>
      <c r="M38" s="10" t="n">
        <v>0</v>
      </c>
      <c r="N38" s="10" t="inlineStr">
        <is>
          <t>no</t>
        </is>
      </c>
      <c r="O38" s="10" t="inlineStr">
        <is>
          <t>yes</t>
        </is>
      </c>
      <c r="P38" s="10" t="inlineStr">
        <is>
          <t>http://119.91.205.130:9080/products/wheels/dim687</t>
        </is>
      </c>
      <c r="Q38" s="10" t="inlineStr">
        <is>
          <t>Brand, Product, PropertyValue</t>
        </is>
      </c>
      <c r="R38" s="10" t="n">
        <v>276</v>
      </c>
      <c r="S38" s="10" t="n">
        <v>119</v>
      </c>
      <c r="T38" s="10" t="inlineStr">
        <is>
          <t>no</t>
        </is>
      </c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</row>
    <row r="39">
      <c r="A39" s="14" t="inlineStr">
        <is>
          <t>http://119.91.205.130:9080/products/wheels/dm902</t>
        </is>
      </c>
      <c r="B39" s="10" t="n">
        <v>200</v>
      </c>
      <c r="C39" s="10" t="n">
        <v>2</v>
      </c>
      <c r="D39" s="10" t="inlineStr">
        <is>
          <t>DM902 Wheel Specifications &amp; Configurations | Fenghuai</t>
        </is>
      </c>
      <c r="E39" s="10" t="n">
        <v>54</v>
      </c>
      <c r="F39" s="10" t="n">
        <v>174</v>
      </c>
      <c r="G39" s="10" t="inlineStr">
        <is>
          <t>DM902</t>
        </is>
      </c>
      <c r="H39" s="10" t="n">
        <v>1</v>
      </c>
      <c r="I39" s="10" t="n">
        <v>636</v>
      </c>
      <c r="J39" s="10" t="n">
        <v>1</v>
      </c>
      <c r="K39" s="10" t="n">
        <v>56</v>
      </c>
      <c r="L39" s="10" t="n">
        <v>4</v>
      </c>
      <c r="M39" s="10" t="n">
        <v>0</v>
      </c>
      <c r="N39" s="10" t="inlineStr">
        <is>
          <t>no</t>
        </is>
      </c>
      <c r="O39" s="10" t="inlineStr">
        <is>
          <t>yes</t>
        </is>
      </c>
      <c r="P39" s="10" t="inlineStr">
        <is>
          <t>http://119.91.205.130:9080/products/wheels/dm902</t>
        </is>
      </c>
      <c r="Q39" s="10" t="inlineStr">
        <is>
          <t>Brand, Product, PropertyValue</t>
        </is>
      </c>
      <c r="R39" s="10" t="n">
        <v>362</v>
      </c>
      <c r="S39" s="10" t="n">
        <v>124</v>
      </c>
      <c r="T39" s="10" t="inlineStr">
        <is>
          <t>no</t>
        </is>
      </c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</row>
    <row r="40">
      <c r="A40" s="14" t="inlineStr">
        <is>
          <t>http://119.91.205.130:9080/products/wheels/dq002</t>
        </is>
      </c>
      <c r="B40" s="10" t="n">
        <v>200</v>
      </c>
      <c r="C40" s="10" t="n">
        <v>2</v>
      </c>
      <c r="D40" s="10" t="inlineStr">
        <is>
          <t>DQ002 Wheel Specifications &amp; Configurations | Fenghuai</t>
        </is>
      </c>
      <c r="E40" s="10" t="n">
        <v>54</v>
      </c>
      <c r="F40" s="10" t="n">
        <v>174</v>
      </c>
      <c r="G40" s="10" t="inlineStr">
        <is>
          <t>DQ002</t>
        </is>
      </c>
      <c r="H40" s="10" t="n">
        <v>1</v>
      </c>
      <c r="I40" s="10" t="n">
        <v>625</v>
      </c>
      <c r="J40" s="10" t="n">
        <v>5</v>
      </c>
      <c r="K40" s="10" t="n">
        <v>56</v>
      </c>
      <c r="L40" s="10" t="n">
        <v>4</v>
      </c>
      <c r="M40" s="10" t="n">
        <v>0</v>
      </c>
      <c r="N40" s="10" t="inlineStr">
        <is>
          <t>no</t>
        </is>
      </c>
      <c r="O40" s="10" t="inlineStr">
        <is>
          <t>yes</t>
        </is>
      </c>
      <c r="P40" s="10" t="inlineStr">
        <is>
          <t>http://119.91.205.130:9080/products/wheels/dq002</t>
        </is>
      </c>
      <c r="Q40" s="10" t="inlineStr">
        <is>
          <t>Brand, Product, PropertyValue</t>
        </is>
      </c>
      <c r="R40" s="10" t="n">
        <v>356</v>
      </c>
      <c r="S40" s="10" t="n">
        <v>124</v>
      </c>
      <c r="T40" s="10" t="inlineStr">
        <is>
          <t>no</t>
        </is>
      </c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</row>
    <row r="41">
      <c r="A41" s="14" t="inlineStr">
        <is>
          <t>http://119.91.205.130:9080/products/wheels/dq019209001s3212</t>
        </is>
      </c>
      <c r="B41" s="10" t="n">
        <v>200</v>
      </c>
      <c r="C41" s="10" t="n">
        <v>2</v>
      </c>
      <c r="D41" s="10" t="inlineStr">
        <is>
          <t>DQ019209001S3212 Wheel Specifications &amp; Configurations | Fenghuai</t>
        </is>
      </c>
      <c r="E41" s="10" t="n">
        <v>65</v>
      </c>
      <c r="F41" s="10" t="n">
        <v>185</v>
      </c>
      <c r="G41" s="10" t="inlineStr">
        <is>
          <t>DQ019209001S3212</t>
        </is>
      </c>
      <c r="H41" s="10" t="n">
        <v>1</v>
      </c>
      <c r="I41" s="10" t="n">
        <v>518</v>
      </c>
      <c r="J41" s="10" t="n">
        <v>3</v>
      </c>
      <c r="K41" s="10" t="n">
        <v>56</v>
      </c>
      <c r="L41" s="10" t="n">
        <v>4</v>
      </c>
      <c r="M41" s="10" t="n">
        <v>0</v>
      </c>
      <c r="N41" s="10" t="inlineStr">
        <is>
          <t>no</t>
        </is>
      </c>
      <c r="O41" s="10" t="inlineStr">
        <is>
          <t>yes</t>
        </is>
      </c>
      <c r="P41" s="10" t="inlineStr">
        <is>
          <t>http://119.91.205.130:9080/products/wheels/dq019209001s3212</t>
        </is>
      </c>
      <c r="Q41" s="10" t="inlineStr">
        <is>
          <t>Brand, Product, PropertyValue</t>
        </is>
      </c>
      <c r="R41" s="10" t="n">
        <v>379</v>
      </c>
      <c r="S41" s="10" t="n">
        <v>119</v>
      </c>
      <c r="T41" s="10" t="inlineStr">
        <is>
          <t>no</t>
        </is>
      </c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</row>
    <row r="42">
      <c r="A42" s="14" t="inlineStr">
        <is>
          <t>http://119.91.205.130:9080/products/wheels/dq019209011sh3212</t>
        </is>
      </c>
      <c r="B42" s="10" t="n">
        <v>200</v>
      </c>
      <c r="C42" s="10" t="n">
        <v>2</v>
      </c>
      <c r="D42" s="10" t="inlineStr">
        <is>
          <t>DQ019209011SH3212 Wheel Specifications &amp; Configurations | Fenghuai</t>
        </is>
      </c>
      <c r="E42" s="10" t="n">
        <v>66</v>
      </c>
      <c r="F42" s="10" t="n">
        <v>186</v>
      </c>
      <c r="G42" s="10" t="inlineStr">
        <is>
          <t>DQ019209011SH3212</t>
        </is>
      </c>
      <c r="H42" s="10" t="n">
        <v>1</v>
      </c>
      <c r="I42" s="10" t="n">
        <v>518</v>
      </c>
      <c r="J42" s="10" t="n">
        <v>3</v>
      </c>
      <c r="K42" s="10" t="n">
        <v>56</v>
      </c>
      <c r="L42" s="10" t="n">
        <v>4</v>
      </c>
      <c r="M42" s="10" t="n">
        <v>0</v>
      </c>
      <c r="N42" s="10" t="inlineStr">
        <is>
          <t>no</t>
        </is>
      </c>
      <c r="O42" s="10" t="inlineStr">
        <is>
          <t>yes</t>
        </is>
      </c>
      <c r="P42" s="10" t="inlineStr">
        <is>
          <t>http://119.91.205.130:9080/products/wheels/dq019209011sh3212</t>
        </is>
      </c>
      <c r="Q42" s="10" t="inlineStr">
        <is>
          <t>Brand, Product, PropertyValue</t>
        </is>
      </c>
      <c r="R42" s="10" t="n">
        <v>362</v>
      </c>
      <c r="S42" s="10" t="n">
        <v>119</v>
      </c>
      <c r="T42" s="10" t="inlineStr">
        <is>
          <t>no</t>
        </is>
      </c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</row>
    <row r="43">
      <c r="A43" s="14" t="inlineStr">
        <is>
          <t>http://119.91.205.130:9080/products/wheels/dx035</t>
        </is>
      </c>
      <c r="B43" s="10" t="n">
        <v>200</v>
      </c>
      <c r="C43" s="10" t="n">
        <v>2</v>
      </c>
      <c r="D43" s="10" t="inlineStr">
        <is>
          <t>DX035 Wheel Specifications &amp; Configurations | Fenghuai</t>
        </is>
      </c>
      <c r="E43" s="10" t="n">
        <v>54</v>
      </c>
      <c r="F43" s="10" t="n">
        <v>174</v>
      </c>
      <c r="G43" s="10" t="inlineStr">
        <is>
          <t>DX035</t>
        </is>
      </c>
      <c r="H43" s="10" t="n">
        <v>1</v>
      </c>
      <c r="I43" s="10" t="n">
        <v>554</v>
      </c>
      <c r="J43" s="10" t="n">
        <v>5</v>
      </c>
      <c r="K43" s="10" t="n">
        <v>56</v>
      </c>
      <c r="L43" s="10" t="n">
        <v>4</v>
      </c>
      <c r="M43" s="10" t="n">
        <v>0</v>
      </c>
      <c r="N43" s="10" t="inlineStr">
        <is>
          <t>no</t>
        </is>
      </c>
      <c r="O43" s="10" t="inlineStr">
        <is>
          <t>yes</t>
        </is>
      </c>
      <c r="P43" s="10" t="inlineStr">
        <is>
          <t>http://119.91.205.130:9080/products/wheels/dx035</t>
        </is>
      </c>
      <c r="Q43" s="10" t="inlineStr">
        <is>
          <t>Brand, Product, PropertyValue</t>
        </is>
      </c>
      <c r="R43" s="10" t="n">
        <v>153</v>
      </c>
      <c r="S43" s="10" t="n">
        <v>119</v>
      </c>
      <c r="T43" s="10" t="inlineStr">
        <is>
          <t>no</t>
        </is>
      </c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</row>
    <row r="44">
      <c r="A44" s="14" t="inlineStr">
        <is>
          <t>http://119.91.205.130:9080/products/wheels/dx045</t>
        </is>
      </c>
      <c r="B44" s="10" t="n">
        <v>200</v>
      </c>
      <c r="C44" s="10" t="n">
        <v>2</v>
      </c>
      <c r="D44" s="10" t="inlineStr">
        <is>
          <t>DX045 Wheel Specifications &amp; Configurations | Fenghuai</t>
        </is>
      </c>
      <c r="E44" s="10" t="n">
        <v>54</v>
      </c>
      <c r="F44" s="10" t="n">
        <v>174</v>
      </c>
      <c r="G44" s="10" t="inlineStr">
        <is>
          <t>DX045</t>
        </is>
      </c>
      <c r="H44" s="10" t="n">
        <v>1</v>
      </c>
      <c r="I44" s="10" t="n">
        <v>509</v>
      </c>
      <c r="J44" s="10" t="n">
        <v>3</v>
      </c>
      <c r="K44" s="10" t="n">
        <v>56</v>
      </c>
      <c r="L44" s="10" t="n">
        <v>4</v>
      </c>
      <c r="M44" s="10" t="n">
        <v>0</v>
      </c>
      <c r="N44" s="10" t="inlineStr">
        <is>
          <t>no</t>
        </is>
      </c>
      <c r="O44" s="10" t="inlineStr">
        <is>
          <t>yes</t>
        </is>
      </c>
      <c r="P44" s="10" t="inlineStr">
        <is>
          <t>http://119.91.205.130:9080/products/wheels/dx045</t>
        </is>
      </c>
      <c r="Q44" s="10" t="inlineStr">
        <is>
          <t>Brand, Product, PropertyValue</t>
        </is>
      </c>
      <c r="R44" s="10" t="n">
        <v>89</v>
      </c>
      <c r="S44" s="10" t="n">
        <v>117</v>
      </c>
      <c r="T44" s="10" t="inlineStr">
        <is>
          <t>no</t>
        </is>
      </c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</row>
    <row r="45">
      <c r="A45" s="14" t="inlineStr">
        <is>
          <t>http://119.91.205.130:9080/products/wheels/dx046</t>
        </is>
      </c>
      <c r="B45" s="10" t="n">
        <v>200</v>
      </c>
      <c r="C45" s="10" t="n">
        <v>2</v>
      </c>
      <c r="D45" s="10" t="inlineStr">
        <is>
          <t>DX046 Wheel Specifications &amp; Configurations | Fenghuai</t>
        </is>
      </c>
      <c r="E45" s="10" t="n">
        <v>54</v>
      </c>
      <c r="F45" s="10" t="n">
        <v>174</v>
      </c>
      <c r="G45" s="10" t="inlineStr">
        <is>
          <t>DX046</t>
        </is>
      </c>
      <c r="H45" s="10" t="n">
        <v>1</v>
      </c>
      <c r="I45" s="10" t="n">
        <v>510</v>
      </c>
      <c r="J45" s="10" t="n">
        <v>1</v>
      </c>
      <c r="K45" s="10" t="n">
        <v>56</v>
      </c>
      <c r="L45" s="10" t="n">
        <v>4</v>
      </c>
      <c r="M45" s="10" t="n">
        <v>0</v>
      </c>
      <c r="N45" s="10" t="inlineStr">
        <is>
          <t>no</t>
        </is>
      </c>
      <c r="O45" s="10" t="inlineStr">
        <is>
          <t>yes</t>
        </is>
      </c>
      <c r="P45" s="10" t="inlineStr">
        <is>
          <t>http://119.91.205.130:9080/products/wheels/dx046</t>
        </is>
      </c>
      <c r="Q45" s="10" t="inlineStr">
        <is>
          <t>Brand, Product, PropertyValue</t>
        </is>
      </c>
      <c r="R45" s="10" t="n">
        <v>189</v>
      </c>
      <c r="S45" s="10" t="n">
        <v>116</v>
      </c>
      <c r="T45" s="10" t="inlineStr">
        <is>
          <t>no</t>
        </is>
      </c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</row>
    <row r="46">
      <c r="A46" s="14" t="inlineStr">
        <is>
          <t>http://119.91.205.130:9080/products/wheels/dx088</t>
        </is>
      </c>
      <c r="B46" s="10" t="n">
        <v>200</v>
      </c>
      <c r="C46" s="10" t="n">
        <v>2</v>
      </c>
      <c r="D46" s="10" t="inlineStr">
        <is>
          <t>DX088 Wheel Specifications &amp; Configurations | Fenghuai</t>
        </is>
      </c>
      <c r="E46" s="10" t="n">
        <v>54</v>
      </c>
      <c r="F46" s="10" t="n">
        <v>174</v>
      </c>
      <c r="G46" s="10" t="inlineStr">
        <is>
          <t>DX088</t>
        </is>
      </c>
      <c r="H46" s="10" t="n">
        <v>1</v>
      </c>
      <c r="I46" s="10" t="n">
        <v>854</v>
      </c>
      <c r="J46" s="10" t="n">
        <v>7</v>
      </c>
      <c r="K46" s="10" t="n">
        <v>56</v>
      </c>
      <c r="L46" s="10" t="n">
        <v>4</v>
      </c>
      <c r="M46" s="10" t="n">
        <v>0</v>
      </c>
      <c r="N46" s="10" t="inlineStr">
        <is>
          <t>no</t>
        </is>
      </c>
      <c r="O46" s="10" t="inlineStr">
        <is>
          <t>yes</t>
        </is>
      </c>
      <c r="P46" s="10" t="inlineStr">
        <is>
          <t>http://119.91.205.130:9080/products/wheels/dx088</t>
        </is>
      </c>
      <c r="Q46" s="10" t="inlineStr">
        <is>
          <t>Brand, Product, PropertyValue</t>
        </is>
      </c>
      <c r="R46" s="10" t="n">
        <v>235</v>
      </c>
      <c r="S46" s="10" t="n">
        <v>137</v>
      </c>
      <c r="T46" s="10" t="inlineStr">
        <is>
          <t>no</t>
        </is>
      </c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</row>
    <row r="47">
      <c r="A47" s="14" t="inlineStr">
        <is>
          <t>http://119.91.205.130:9080/products/wheels/dx125</t>
        </is>
      </c>
      <c r="B47" s="10" t="n">
        <v>200</v>
      </c>
      <c r="C47" s="10" t="n">
        <v>2</v>
      </c>
      <c r="D47" s="10" t="inlineStr">
        <is>
          <t>DX125 Wheel Specifications &amp; Configurations | Fenghuai</t>
        </is>
      </c>
      <c r="E47" s="10" t="n">
        <v>54</v>
      </c>
      <c r="F47" s="10" t="n">
        <v>174</v>
      </c>
      <c r="G47" s="10" t="inlineStr">
        <is>
          <t>DX125</t>
        </is>
      </c>
      <c r="H47" s="10" t="n">
        <v>1</v>
      </c>
      <c r="I47" s="10" t="n">
        <v>548</v>
      </c>
      <c r="J47" s="10" t="n">
        <v>1</v>
      </c>
      <c r="K47" s="10" t="n">
        <v>56</v>
      </c>
      <c r="L47" s="10" t="n">
        <v>4</v>
      </c>
      <c r="M47" s="10" t="n">
        <v>0</v>
      </c>
      <c r="N47" s="10" t="inlineStr">
        <is>
          <t>no</t>
        </is>
      </c>
      <c r="O47" s="10" t="inlineStr">
        <is>
          <t>yes</t>
        </is>
      </c>
      <c r="P47" s="10" t="inlineStr">
        <is>
          <t>http://119.91.205.130:9080/products/wheels/dx125</t>
        </is>
      </c>
      <c r="Q47" s="10" t="inlineStr">
        <is>
          <t>Brand, Product, PropertyValue</t>
        </is>
      </c>
      <c r="R47" s="10" t="n">
        <v>226</v>
      </c>
      <c r="S47" s="10" t="n">
        <v>119</v>
      </c>
      <c r="T47" s="10" t="inlineStr">
        <is>
          <t>no</t>
        </is>
      </c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</row>
    <row r="48">
      <c r="A48" s="14" t="inlineStr">
        <is>
          <t>http://119.91.205.130:9080/products/wheels/dx137</t>
        </is>
      </c>
      <c r="B48" s="10" t="n">
        <v>200</v>
      </c>
      <c r="C48" s="10" t="n">
        <v>2</v>
      </c>
      <c r="D48" s="10" t="inlineStr">
        <is>
          <t>DX137 Wheel Specifications &amp; Configurations | Fenghuai</t>
        </is>
      </c>
      <c r="E48" s="10" t="n">
        <v>54</v>
      </c>
      <c r="F48" s="10" t="n">
        <v>174</v>
      </c>
      <c r="G48" s="10" t="inlineStr">
        <is>
          <t>DX137</t>
        </is>
      </c>
      <c r="H48" s="10" t="n">
        <v>1</v>
      </c>
      <c r="I48" s="10" t="n">
        <v>521</v>
      </c>
      <c r="J48" s="10" t="n">
        <v>2</v>
      </c>
      <c r="K48" s="10" t="n">
        <v>56</v>
      </c>
      <c r="L48" s="10" t="n">
        <v>4</v>
      </c>
      <c r="M48" s="10" t="n">
        <v>0</v>
      </c>
      <c r="N48" s="10" t="inlineStr">
        <is>
          <t>no</t>
        </is>
      </c>
      <c r="O48" s="10" t="inlineStr">
        <is>
          <t>yes</t>
        </is>
      </c>
      <c r="P48" s="10" t="inlineStr">
        <is>
          <t>http://119.91.205.130:9080/products/wheels/dx137</t>
        </is>
      </c>
      <c r="Q48" s="10" t="inlineStr">
        <is>
          <t>Brand, Product, PropertyValue</t>
        </is>
      </c>
      <c r="R48" s="10" t="n">
        <v>208</v>
      </c>
      <c r="S48" s="10" t="n">
        <v>118</v>
      </c>
      <c r="T48" s="10" t="inlineStr">
        <is>
          <t>no</t>
        </is>
      </c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</row>
    <row r="49">
      <c r="A49" s="14" t="inlineStr">
        <is>
          <t>http://119.91.205.130:9080/products/wheels/flow-formed</t>
        </is>
      </c>
      <c r="B49" s="10" t="n">
        <v>200</v>
      </c>
      <c r="C49" s="10" t="n">
        <v>2</v>
      </c>
      <c r="D49" s="10" t="inlineStr">
        <is>
          <t>Flow-Formed Wheels by Recorded Specification | Fenghuai</t>
        </is>
      </c>
      <c r="E49" s="10" t="n">
        <v>55</v>
      </c>
      <c r="F49" s="10" t="n">
        <v>158</v>
      </c>
      <c r="G49" s="10" t="inlineStr">
        <is>
          <t>Browse flow-formed wheels by recorded production specification</t>
        </is>
      </c>
      <c r="H49" s="10" t="n">
        <v>1</v>
      </c>
      <c r="I49" s="10" t="n">
        <v>1347</v>
      </c>
      <c r="J49" s="10" t="n">
        <v>3</v>
      </c>
      <c r="K49" s="10" t="n">
        <v>85</v>
      </c>
      <c r="L49" s="10" t="n">
        <v>26</v>
      </c>
      <c r="M49" s="10" t="n">
        <v>0</v>
      </c>
      <c r="N49" s="10" t="inlineStr">
        <is>
          <t>no</t>
        </is>
      </c>
      <c r="O49" s="10" t="inlineStr">
        <is>
          <t>yes</t>
        </is>
      </c>
      <c r="P49" s="10" t="inlineStr">
        <is>
          <t>http://119.91.205.130:9080/products/wheels/flow-formed</t>
        </is>
      </c>
      <c r="Q49" s="10" t="inlineStr">
        <is>
          <t>CollectionPage, ItemList, ListItem</t>
        </is>
      </c>
      <c r="R49" s="10" t="n">
        <v>299</v>
      </c>
      <c r="S49" s="10" t="n">
        <v>428</v>
      </c>
      <c r="T49" s="10" t="inlineStr">
        <is>
          <t>no</t>
        </is>
      </c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</row>
    <row r="50">
      <c r="A50" s="14" t="inlineStr">
        <is>
          <t>http://119.91.205.130:9080/products/wheels/forged</t>
        </is>
      </c>
      <c r="B50" s="10" t="n">
        <v>200</v>
      </c>
      <c r="C50" s="10" t="n">
        <v>2</v>
      </c>
      <c r="D50" s="10" t="inlineStr">
        <is>
          <t>Custom Forged Wheels | Engineering &amp; Manufacturing Support | Fenghuai | Fenghuai</t>
        </is>
      </c>
      <c r="E50" s="10" t="n">
        <v>80</v>
      </c>
      <c r="F50" s="10" t="n">
        <v>144</v>
      </c>
      <c r="G50" s="10" t="inlineStr">
        <is>
          <t>A forged wheel program built around an approved specification</t>
        </is>
      </c>
      <c r="H50" s="10" t="n">
        <v>1</v>
      </c>
      <c r="I50" s="10" t="n">
        <v>542</v>
      </c>
      <c r="J50" s="10" t="n">
        <v>4</v>
      </c>
      <c r="K50" s="10" t="n">
        <v>55</v>
      </c>
      <c r="L50" s="10" t="n">
        <v>7</v>
      </c>
      <c r="M50" s="10" t="n">
        <v>0</v>
      </c>
      <c r="N50" s="10" t="inlineStr">
        <is>
          <t>no</t>
        </is>
      </c>
      <c r="O50" s="10" t="inlineStr">
        <is>
          <t>yes</t>
        </is>
      </c>
      <c r="P50" s="10" t="inlineStr">
        <is>
          <t>http://119.91.205.130:9080/products/wheels/forged</t>
        </is>
      </c>
      <c r="Q50" s="10" t="inlineStr"/>
      <c r="R50" s="10" t="n">
        <v>144</v>
      </c>
      <c r="S50" s="10" t="n">
        <v>92</v>
      </c>
      <c r="T50" s="10" t="inlineStr">
        <is>
          <t>no</t>
        </is>
      </c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</row>
    <row r="51">
      <c r="A51" s="14" t="inlineStr">
        <is>
          <t>http://119.91.205.130:9080/products/wheels?page=2</t>
        </is>
      </c>
      <c r="B51" s="10" t="n">
        <v>200</v>
      </c>
      <c r="C51" s="10" t="n">
        <v>2</v>
      </c>
      <c r="D51" s="10" t="inlineStr">
        <is>
          <t>Wheel Catalogue — Page 2 | Sizes, PCDs &amp; Production Specifications | Fenghuai</t>
        </is>
      </c>
      <c r="E51" s="10" t="n">
        <v>77</v>
      </c>
      <c r="F51" s="10" t="n">
        <v>148</v>
      </c>
      <c r="G51" s="10" t="inlineStr">
        <is>
          <t>Find a wheel by verified production specification</t>
        </is>
      </c>
      <c r="H51" s="10" t="n">
        <v>1</v>
      </c>
      <c r="I51" s="10" t="n">
        <v>999</v>
      </c>
      <c r="J51" s="10" t="n">
        <v>1</v>
      </c>
      <c r="K51" s="10" t="n">
        <v>86</v>
      </c>
      <c r="L51" s="10" t="n">
        <v>25</v>
      </c>
      <c r="M51" s="10" t="n">
        <v>0</v>
      </c>
      <c r="N51" s="10" t="inlineStr">
        <is>
          <t>no</t>
        </is>
      </c>
      <c r="O51" s="10" t="inlineStr">
        <is>
          <t>no</t>
        </is>
      </c>
      <c r="P51" s="10" t="inlineStr">
        <is>
          <t>http://119.91.205.130:9080/products/wheels?page=2</t>
        </is>
      </c>
      <c r="Q51" s="10" t="inlineStr">
        <is>
          <t>ItemList, ListItem</t>
        </is>
      </c>
      <c r="R51" s="10" t="n">
        <v>228</v>
      </c>
      <c r="S51" s="10" t="n">
        <v>418</v>
      </c>
      <c r="T51" s="10" t="inlineStr">
        <is>
          <t>no</t>
        </is>
      </c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</row>
    <row r="52">
      <c r="A52" s="14" t="inlineStr">
        <is>
          <t>http://119.91.205.130:9080/products/wheels?page=6</t>
        </is>
      </c>
      <c r="B52" s="10" t="n">
        <v>200</v>
      </c>
      <c r="C52" s="10" t="n">
        <v>2</v>
      </c>
      <c r="D52" s="10" t="inlineStr">
        <is>
          <t>Wheel Catalogue — Page 6 | Sizes, PCDs &amp; Production Specifications | Fenghuai</t>
        </is>
      </c>
      <c r="E52" s="10" t="n">
        <v>77</v>
      </c>
      <c r="F52" s="10" t="n">
        <v>148</v>
      </c>
      <c r="G52" s="10" t="inlineStr">
        <is>
          <t>Find a wheel by verified production specification</t>
        </is>
      </c>
      <c r="H52" s="10" t="n">
        <v>1</v>
      </c>
      <c r="I52" s="10" t="n">
        <v>887</v>
      </c>
      <c r="J52" s="10" t="n">
        <v>2</v>
      </c>
      <c r="K52" s="10" t="n">
        <v>78</v>
      </c>
      <c r="L52" s="10" t="n">
        <v>19</v>
      </c>
      <c r="M52" s="10" t="n">
        <v>0</v>
      </c>
      <c r="N52" s="10" t="inlineStr">
        <is>
          <t>no</t>
        </is>
      </c>
      <c r="O52" s="10" t="inlineStr">
        <is>
          <t>no</t>
        </is>
      </c>
      <c r="P52" s="10" t="inlineStr">
        <is>
          <t>http://119.91.205.130:9080/products/wheels?page=6</t>
        </is>
      </c>
      <c r="Q52" s="10" t="inlineStr">
        <is>
          <t>ItemList, ListItem</t>
        </is>
      </c>
      <c r="R52" s="10" t="n">
        <v>336</v>
      </c>
      <c r="S52" s="10" t="n">
        <v>376</v>
      </c>
      <c r="T52" s="10" t="inlineStr">
        <is>
          <t>no</t>
        </is>
      </c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</row>
    <row r="53">
      <c r="A53" s="14" t="inlineStr">
        <is>
          <t>http://119.91.205.130:9080/request-a-quote?product_line=custom-aluminum&amp;intent=project_assessment&amp;from=custom-aluminum&amp;application=battery-system-structures&amp;input_type=unspecified</t>
        </is>
      </c>
      <c r="B53" s="10" t="n">
        <v>200</v>
      </c>
      <c r="C53" s="10" t="n">
        <v>2</v>
      </c>
      <c r="D53" s="10" t="inlineStr">
        <is>
          <t>Request a Quote | Fenghuai</t>
        </is>
      </c>
      <c r="E53" s="10" t="n">
        <v>26</v>
      </c>
      <c r="F53" s="10" t="n">
        <v>145</v>
      </c>
      <c r="G53" s="10" t="inlineStr">
        <is>
          <t>Tell us what you need to source or develop</t>
        </is>
      </c>
      <c r="H53" s="10" t="n">
        <v>1</v>
      </c>
      <c r="I53" s="10" t="n">
        <v>244</v>
      </c>
      <c r="J53" s="10" t="n">
        <v>1</v>
      </c>
      <c r="K53" s="10" t="n">
        <v>53</v>
      </c>
      <c r="L53" s="10" t="n">
        <v>0</v>
      </c>
      <c r="M53" s="10" t="n">
        <v>0</v>
      </c>
      <c r="N53" s="10" t="inlineStr">
        <is>
          <t>no</t>
        </is>
      </c>
      <c r="O53" s="10" t="inlineStr">
        <is>
          <t>no</t>
        </is>
      </c>
      <c r="P53" s="10" t="inlineStr">
        <is>
          <t>http://119.91.205.130:9080/request-a-quote</t>
        </is>
      </c>
      <c r="Q53" s="10" t="inlineStr"/>
      <c r="R53" s="10" t="n">
        <v>50</v>
      </c>
      <c r="S53" s="10" t="n">
        <v>80</v>
      </c>
      <c r="T53" s="10" t="inlineStr">
        <is>
          <t>no</t>
        </is>
      </c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</row>
    <row r="54">
      <c r="A54" s="14" t="inlineStr">
        <is>
          <t>http://119.91.205.130:9080/request-a-quote?product_line=custom-aluminum&amp;intent=project_assessment&amp;from=custom-aluminum&amp;application=motor-reducer&amp;input_type=unspecified</t>
        </is>
      </c>
      <c r="B54" s="10" t="n">
        <v>200</v>
      </c>
      <c r="C54" s="10" t="n">
        <v>2</v>
      </c>
      <c r="D54" s="10" t="inlineStr">
        <is>
          <t>Request a Quote | Fenghuai</t>
        </is>
      </c>
      <c r="E54" s="10" t="n">
        <v>26</v>
      </c>
      <c r="F54" s="10" t="n">
        <v>145</v>
      </c>
      <c r="G54" s="10" t="inlineStr">
        <is>
          <t>Tell us what you need to source or develop</t>
        </is>
      </c>
      <c r="H54" s="10" t="n">
        <v>1</v>
      </c>
      <c r="I54" s="10" t="n">
        <v>244</v>
      </c>
      <c r="J54" s="10" t="n">
        <v>1</v>
      </c>
      <c r="K54" s="10" t="n">
        <v>53</v>
      </c>
      <c r="L54" s="10" t="n">
        <v>0</v>
      </c>
      <c r="M54" s="10" t="n">
        <v>0</v>
      </c>
      <c r="N54" s="10" t="inlineStr">
        <is>
          <t>no</t>
        </is>
      </c>
      <c r="O54" s="10" t="inlineStr">
        <is>
          <t>no</t>
        </is>
      </c>
      <c r="P54" s="10" t="inlineStr">
        <is>
          <t>http://119.91.205.130:9080/request-a-quote</t>
        </is>
      </c>
      <c r="Q54" s="10" t="inlineStr"/>
      <c r="R54" s="10" t="n">
        <v>96</v>
      </c>
      <c r="S54" s="10" t="n">
        <v>80</v>
      </c>
      <c r="T54" s="10" t="inlineStr">
        <is>
          <t>no</t>
        </is>
      </c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</row>
    <row r="55">
      <c r="A55" s="14" t="inlineStr">
        <is>
          <t>http://119.91.205.130:9080/request-a-quote?product_line=custom-aluminum&amp;intent=project_assessment&amp;from=custom-aluminum&amp;application=power-electronics-thermal-management&amp;input_type=unspecified</t>
        </is>
      </c>
      <c r="B55" s="10" t="n">
        <v>200</v>
      </c>
      <c r="C55" s="10" t="n">
        <v>2</v>
      </c>
      <c r="D55" s="10" t="inlineStr">
        <is>
          <t>Request a Quote | Fenghuai</t>
        </is>
      </c>
      <c r="E55" s="10" t="n">
        <v>26</v>
      </c>
      <c r="F55" s="10" t="n">
        <v>145</v>
      </c>
      <c r="G55" s="10" t="inlineStr">
        <is>
          <t>Tell us what you need to source or develop</t>
        </is>
      </c>
      <c r="H55" s="10" t="n">
        <v>1</v>
      </c>
      <c r="I55" s="10" t="n">
        <v>244</v>
      </c>
      <c r="J55" s="10" t="n">
        <v>1</v>
      </c>
      <c r="K55" s="10" t="n">
        <v>53</v>
      </c>
      <c r="L55" s="10" t="n">
        <v>0</v>
      </c>
      <c r="M55" s="10" t="n">
        <v>0</v>
      </c>
      <c r="N55" s="10" t="inlineStr">
        <is>
          <t>no</t>
        </is>
      </c>
      <c r="O55" s="10" t="inlineStr">
        <is>
          <t>no</t>
        </is>
      </c>
      <c r="P55" s="10" t="inlineStr">
        <is>
          <t>http://119.91.205.130:9080/request-a-quote</t>
        </is>
      </c>
      <c r="Q55" s="10" t="inlineStr"/>
      <c r="R55" s="10" t="n">
        <v>60</v>
      </c>
      <c r="S55" s="10" t="n">
        <v>80</v>
      </c>
      <c r="T55" s="10" t="inlineStr">
        <is>
          <t>no</t>
        </is>
      </c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</row>
    <row r="56">
      <c r="A56" s="14" t="inlineStr">
        <is>
          <t>http://119.91.205.130:9080/request-a-quote?product_line=ev-components&amp;intent=project_assessment&amp;from=ev-components&amp;category=controller-inverter&amp;evidence=unspecified</t>
        </is>
      </c>
      <c r="B56" s="10" t="n">
        <v>200</v>
      </c>
      <c r="C56" s="10" t="n">
        <v>2</v>
      </c>
      <c r="D56" s="10" t="inlineStr">
        <is>
          <t>Request a Quote | Fenghuai</t>
        </is>
      </c>
      <c r="E56" s="10" t="n">
        <v>26</v>
      </c>
      <c r="F56" s="10" t="n">
        <v>145</v>
      </c>
      <c r="G56" s="10" t="inlineStr">
        <is>
          <t>Tell us what you need to source or develop</t>
        </is>
      </c>
      <c r="H56" s="10" t="n">
        <v>1</v>
      </c>
      <c r="I56" s="10" t="n">
        <v>244</v>
      </c>
      <c r="J56" s="10" t="n">
        <v>1</v>
      </c>
      <c r="K56" s="10" t="n">
        <v>53</v>
      </c>
      <c r="L56" s="10" t="n">
        <v>0</v>
      </c>
      <c r="M56" s="10" t="n">
        <v>0</v>
      </c>
      <c r="N56" s="10" t="inlineStr">
        <is>
          <t>no</t>
        </is>
      </c>
      <c r="O56" s="10" t="inlineStr">
        <is>
          <t>no</t>
        </is>
      </c>
      <c r="P56" s="10" t="inlineStr">
        <is>
          <t>http://119.91.205.130:9080/request-a-quote</t>
        </is>
      </c>
      <c r="Q56" s="10" t="inlineStr"/>
      <c r="R56" s="10" t="n">
        <v>330</v>
      </c>
      <c r="S56" s="10" t="n">
        <v>80</v>
      </c>
      <c r="T56" s="10" t="inlineStr">
        <is>
          <t>no</t>
        </is>
      </c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</row>
    <row r="57">
      <c r="A57" s="14" t="inlineStr">
        <is>
          <t>http://119.91.205.130:9080/request-a-quote?product_line=ev-components&amp;intent=project_assessment&amp;from=ev-components&amp;category=die-cast-motor&amp;evidence=unspecified</t>
        </is>
      </c>
      <c r="B57" s="10" t="n">
        <v>200</v>
      </c>
      <c r="C57" s="10" t="n">
        <v>2</v>
      </c>
      <c r="D57" s="10" t="inlineStr">
        <is>
          <t>Request a Quote | Fenghuai</t>
        </is>
      </c>
      <c r="E57" s="10" t="n">
        <v>26</v>
      </c>
      <c r="F57" s="10" t="n">
        <v>145</v>
      </c>
      <c r="G57" s="10" t="inlineStr">
        <is>
          <t>Tell us what you need to source or develop</t>
        </is>
      </c>
      <c r="H57" s="10" t="n">
        <v>1</v>
      </c>
      <c r="I57" s="10" t="n">
        <v>244</v>
      </c>
      <c r="J57" s="10" t="n">
        <v>1</v>
      </c>
      <c r="K57" s="10" t="n">
        <v>53</v>
      </c>
      <c r="L57" s="10" t="n">
        <v>0</v>
      </c>
      <c r="M57" s="10" t="n">
        <v>0</v>
      </c>
      <c r="N57" s="10" t="inlineStr">
        <is>
          <t>no</t>
        </is>
      </c>
      <c r="O57" s="10" t="inlineStr">
        <is>
          <t>no</t>
        </is>
      </c>
      <c r="P57" s="10" t="inlineStr">
        <is>
          <t>http://119.91.205.130:9080/request-a-quote</t>
        </is>
      </c>
      <c r="Q57" s="10" t="inlineStr"/>
      <c r="R57" s="10" t="n">
        <v>344</v>
      </c>
      <c r="S57" s="10" t="n">
        <v>80</v>
      </c>
      <c r="T57" s="10" t="inlineStr">
        <is>
          <t>no</t>
        </is>
      </c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</row>
    <row r="58">
      <c r="A58" s="14" t="inlineStr">
        <is>
          <t>http://119.91.205.130:9080/request-a-quote?product_line=ev-components&amp;intent=project_assessment&amp;from=ev-components&amp;category=unspecified&amp;evidence=project_evidence_list</t>
        </is>
      </c>
      <c r="B58" s="10" t="n">
        <v>200</v>
      </c>
      <c r="C58" s="10" t="n">
        <v>2</v>
      </c>
      <c r="D58" s="10" t="inlineStr">
        <is>
          <t>Request a Quote | Fenghuai</t>
        </is>
      </c>
      <c r="E58" s="10" t="n">
        <v>26</v>
      </c>
      <c r="F58" s="10" t="n">
        <v>145</v>
      </c>
      <c r="G58" s="10" t="inlineStr">
        <is>
          <t>Tell us what you need to source or develop</t>
        </is>
      </c>
      <c r="H58" s="10" t="n">
        <v>1</v>
      </c>
      <c r="I58" s="10" t="n">
        <v>244</v>
      </c>
      <c r="J58" s="10" t="n">
        <v>1</v>
      </c>
      <c r="K58" s="10" t="n">
        <v>53</v>
      </c>
      <c r="L58" s="10" t="n">
        <v>0</v>
      </c>
      <c r="M58" s="10" t="n">
        <v>0</v>
      </c>
      <c r="N58" s="10" t="inlineStr">
        <is>
          <t>no</t>
        </is>
      </c>
      <c r="O58" s="10" t="inlineStr">
        <is>
          <t>no</t>
        </is>
      </c>
      <c r="P58" s="10" t="inlineStr">
        <is>
          <t>http://119.91.205.130:9080/request-a-quote</t>
        </is>
      </c>
      <c r="Q58" s="10" t="inlineStr"/>
      <c r="R58" s="10" t="n">
        <v>96</v>
      </c>
      <c r="S58" s="10" t="n">
        <v>80</v>
      </c>
      <c r="T58" s="10" t="inlineStr">
        <is>
          <t>no</t>
        </is>
      </c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</row>
    <row r="59">
      <c r="A59" s="14" t="inlineStr">
        <is>
          <t>http://119.91.205.130:9080/request-a-quote?product_line=ev-components&amp;intent=project_assessment&amp;from=ev-components&amp;category=unspecified&amp;evidence=unspecified</t>
        </is>
      </c>
      <c r="B59" s="10" t="n">
        <v>200</v>
      </c>
      <c r="C59" s="10" t="n">
        <v>2</v>
      </c>
      <c r="D59" s="10" t="inlineStr">
        <is>
          <t>Request a Quote | Fenghuai</t>
        </is>
      </c>
      <c r="E59" s="10" t="n">
        <v>26</v>
      </c>
      <c r="F59" s="10" t="n">
        <v>145</v>
      </c>
      <c r="G59" s="10" t="inlineStr">
        <is>
          <t>Tell us what you need to source or develop</t>
        </is>
      </c>
      <c r="H59" s="10" t="n">
        <v>1</v>
      </c>
      <c r="I59" s="10" t="n">
        <v>244</v>
      </c>
      <c r="J59" s="10" t="n">
        <v>1</v>
      </c>
      <c r="K59" s="10" t="n">
        <v>53</v>
      </c>
      <c r="L59" s="10" t="n">
        <v>0</v>
      </c>
      <c r="M59" s="10" t="n">
        <v>0</v>
      </c>
      <c r="N59" s="10" t="inlineStr">
        <is>
          <t>no</t>
        </is>
      </c>
      <c r="O59" s="10" t="inlineStr">
        <is>
          <t>no</t>
        </is>
      </c>
      <c r="P59" s="10" t="inlineStr">
        <is>
          <t>http://119.91.205.130:9080/request-a-quote</t>
        </is>
      </c>
      <c r="Q59" s="10" t="inlineStr"/>
      <c r="R59" s="10" t="n">
        <v>84</v>
      </c>
      <c r="S59" s="10" t="n">
        <v>80</v>
      </c>
      <c r="T59" s="10" t="inlineStr">
        <is>
          <t>no</t>
        </is>
      </c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</row>
    <row r="60">
      <c r="A60" s="14" t="inlineStr">
        <is>
          <t>http://119.91.205.130:9080/request-a-quote?product_line=ev-components&amp;intent=project_assessment&amp;from=ev-components&amp;category=water-cooled-motor&amp;evidence=unspecified</t>
        </is>
      </c>
      <c r="B60" s="10" t="n">
        <v>200</v>
      </c>
      <c r="C60" s="10" t="n">
        <v>2</v>
      </c>
      <c r="D60" s="10" t="inlineStr">
        <is>
          <t>Request a Quote | Fenghuai</t>
        </is>
      </c>
      <c r="E60" s="10" t="n">
        <v>26</v>
      </c>
      <c r="F60" s="10" t="n">
        <v>145</v>
      </c>
      <c r="G60" s="10" t="inlineStr">
        <is>
          <t>Tell us what you need to source or develop</t>
        </is>
      </c>
      <c r="H60" s="10" t="n">
        <v>1</v>
      </c>
      <c r="I60" s="10" t="n">
        <v>244</v>
      </c>
      <c r="J60" s="10" t="n">
        <v>1</v>
      </c>
      <c r="K60" s="10" t="n">
        <v>53</v>
      </c>
      <c r="L60" s="10" t="n">
        <v>0</v>
      </c>
      <c r="M60" s="10" t="n">
        <v>0</v>
      </c>
      <c r="N60" s="10" t="inlineStr">
        <is>
          <t>no</t>
        </is>
      </c>
      <c r="O60" s="10" t="inlineStr">
        <is>
          <t>no</t>
        </is>
      </c>
      <c r="P60" s="10" t="inlineStr">
        <is>
          <t>http://119.91.205.130:9080/request-a-quote</t>
        </is>
      </c>
      <c r="Q60" s="10" t="inlineStr"/>
      <c r="R60" s="10" t="n">
        <v>199</v>
      </c>
      <c r="S60" s="10" t="n">
        <v>80</v>
      </c>
      <c r="T60" s="10" t="inlineStr">
        <is>
          <t>no</t>
        </is>
      </c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</row>
    <row r="61">
      <c r="A61" s="14" t="inlineStr">
        <is>
          <t>http://119.91.205.130:9080/request-a-quote?product_line=wheels</t>
        </is>
      </c>
      <c r="B61" s="10" t="n">
        <v>200</v>
      </c>
      <c r="C61" s="10" t="n">
        <v>2</v>
      </c>
      <c r="D61" s="10" t="inlineStr">
        <is>
          <t>Request a Quote | Fenghuai</t>
        </is>
      </c>
      <c r="E61" s="10" t="n">
        <v>26</v>
      </c>
      <c r="F61" s="10" t="n">
        <v>145</v>
      </c>
      <c r="G61" s="10" t="inlineStr">
        <is>
          <t>Tell us what you need to source or develop</t>
        </is>
      </c>
      <c r="H61" s="10" t="n">
        <v>1</v>
      </c>
      <c r="I61" s="10" t="n">
        <v>244</v>
      </c>
      <c r="J61" s="10" t="n">
        <v>3</v>
      </c>
      <c r="K61" s="10" t="n">
        <v>53</v>
      </c>
      <c r="L61" s="10" t="n">
        <v>0</v>
      </c>
      <c r="M61" s="10" t="n">
        <v>0</v>
      </c>
      <c r="N61" s="10" t="inlineStr">
        <is>
          <t>no</t>
        </is>
      </c>
      <c r="O61" s="10" t="inlineStr">
        <is>
          <t>no</t>
        </is>
      </c>
      <c r="P61" s="10" t="inlineStr">
        <is>
          <t>http://119.91.205.130:9080/request-a-quote</t>
        </is>
      </c>
      <c r="Q61" s="10" t="inlineStr"/>
      <c r="R61" s="10" t="n">
        <v>327</v>
      </c>
      <c r="S61" s="10" t="n">
        <v>79</v>
      </c>
      <c r="T61" s="10" t="inlineStr">
        <is>
          <t>no</t>
        </is>
      </c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</row>
  </sheetData>
  <autoFilter ref="A1:AF61"/>
  <conditionalFormatting sqref="Y2:AF61">
    <cfRule type="colorScale" priority="1">
      <colorScale>
        <cfvo type="num" val="0"/>
        <cfvo type="num" val="1"/>
        <color rgb="00FBEAF5"/>
        <color rgb="00A83A8C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5BB6"/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9" customWidth="1" min="3" max="3"/>
    <col width="18" customWidth="1" min="4" max="4"/>
    <col width="11" customWidth="1" min="5" max="5"/>
    <col width="12" customWidth="1" min="6" max="6"/>
    <col width="10" customWidth="1" min="7" max="7"/>
    <col width="50" customWidth="1" min="8" max="8"/>
  </cols>
  <sheetData>
    <row r="1" ht="30" customHeight="1">
      <c r="A1" s="9" t="inlineStr">
        <is>
          <t>Page</t>
        </is>
      </c>
      <c r="B1" s="9" t="inlineStr">
        <is>
          <t>Question</t>
        </is>
      </c>
      <c r="C1" s="9" t="inlineStr">
        <is>
          <t>Primitive</t>
        </is>
      </c>
      <c r="D1" s="9" t="inlineStr">
        <is>
          <t>Answer (0 to 1 or option)</t>
        </is>
      </c>
      <c r="E1" s="9" t="inlineStr">
        <is>
          <t>Confidence</t>
        </is>
      </c>
      <c r="F1" s="9" t="inlineStr">
        <is>
          <t>Side probability (Score)</t>
        </is>
      </c>
      <c r="G1" s="9" t="inlineStr">
        <is>
          <t>Band</t>
        </is>
      </c>
      <c r="H1" s="9" t="inlineStr">
        <is>
          <t>Top probabilities</t>
        </is>
      </c>
    </row>
    <row r="2">
      <c r="A2" s="10" t="inlineStr">
        <is>
          <t>http://119.91.205.130:9080/</t>
        </is>
      </c>
      <c r="B2" s="10" t="inlineStr">
        <is>
          <t>intent</t>
        </is>
      </c>
      <c r="C2" s="10" t="inlineStr">
        <is>
          <t>choice</t>
        </is>
      </c>
      <c r="D2" s="10" t="inlineStr">
        <is>
          <t>commercial</t>
        </is>
      </c>
      <c r="E2" s="18" t="n">
        <v>0.62</v>
      </c>
      <c r="F2" s="18" t="n"/>
      <c r="G2" s="10" t="inlineStr">
        <is>
          <t>review</t>
        </is>
      </c>
      <c r="H2" s="10" t="inlineStr">
        <is>
          <t>commercial: 0.68, transactional: 0.24, informational: 0.06</t>
        </is>
      </c>
    </row>
    <row r="3">
      <c r="A3" s="10" t="inlineStr">
        <is>
          <t>http://119.91.205.130:9080/</t>
        </is>
      </c>
      <c r="B3" s="10" t="inlineStr">
        <is>
          <t>importance</t>
        </is>
      </c>
      <c r="C3" s="10" t="inlineStr">
        <is>
          <t>score</t>
        </is>
      </c>
      <c r="D3" s="10" t="n">
        <v>1</v>
      </c>
      <c r="E3" s="18" t="n">
        <v>1</v>
      </c>
      <c r="F3" s="18" t="n">
        <v>1</v>
      </c>
      <c r="G3" s="10" t="inlineStr">
        <is>
          <t>act</t>
        </is>
      </c>
      <c r="H3" s="10" t="inlineStr">
        <is>
          <t>3: 1.00, 0: 0.00, 1: 0.00</t>
        </is>
      </c>
    </row>
    <row r="4">
      <c r="A4" s="10" t="inlineStr">
        <is>
          <t>http://119.91.205.130:9080/</t>
        </is>
      </c>
      <c r="B4" s="10" t="inlineStr">
        <is>
          <t>action</t>
        </is>
      </c>
      <c r="C4" s="10" t="inlineStr">
        <is>
          <t>choice</t>
        </is>
      </c>
      <c r="D4" s="10" t="inlineStr">
        <is>
          <t>keep_or_improve</t>
        </is>
      </c>
      <c r="E4" s="18" t="n">
        <v>0.95</v>
      </c>
      <c r="F4" s="18" t="n"/>
      <c r="G4" s="10" t="inlineStr">
        <is>
          <t>act</t>
        </is>
      </c>
      <c r="H4" s="10" t="inlineStr">
        <is>
          <t>keep_or_improve: 0.97, rewrite: 0.02, merge_or_remove: 0.01</t>
        </is>
      </c>
    </row>
    <row r="5">
      <c r="A5" s="10" t="inlineStr">
        <is>
          <t>http://119.91.205.130:9080/</t>
        </is>
      </c>
      <c r="B5" s="10" t="inlineStr">
        <is>
          <t>helpfulness</t>
        </is>
      </c>
      <c r="C5" s="10" t="inlineStr">
        <is>
          <t>score</t>
        </is>
      </c>
      <c r="D5" s="10" t="n">
        <v>0.83</v>
      </c>
      <c r="E5" s="18" t="n">
        <v>0.48</v>
      </c>
      <c r="F5" s="18" t="n">
        <v>0.97</v>
      </c>
      <c r="G5" s="10" t="inlineStr">
        <is>
          <t>act</t>
        </is>
      </c>
      <c r="H5" s="10" t="inlineStr">
        <is>
          <t>3: 0.51, 2: 0.46, 1: 0.03</t>
        </is>
      </c>
    </row>
    <row r="6">
      <c r="A6" s="10" t="inlineStr">
        <is>
          <t>http://119.91.205.130:9080/</t>
        </is>
      </c>
      <c r="B6" s="10" t="inlineStr">
        <is>
          <t>specificity</t>
        </is>
      </c>
      <c r="C6" s="10" t="inlineStr">
        <is>
          <t>score</t>
        </is>
      </c>
      <c r="D6" s="10" t="n">
        <v>0.6</v>
      </c>
      <c r="E6" s="18" t="n">
        <v>0.77</v>
      </c>
      <c r="F6" s="18" t="n">
        <v>0.79</v>
      </c>
      <c r="G6" s="10" t="inlineStr">
        <is>
          <t>review</t>
        </is>
      </c>
      <c r="H6" s="10" t="inlineStr">
        <is>
          <t>2: 0.77, 1: 0.21, 3: 0.02</t>
        </is>
      </c>
    </row>
    <row r="7">
      <c r="A7" s="10" t="inlineStr">
        <is>
          <t>http://119.91.205.130:9080/</t>
        </is>
      </c>
      <c r="B7" s="10" t="inlineStr">
        <is>
          <t>answer_first</t>
        </is>
      </c>
      <c r="C7" s="10" t="inlineStr">
        <is>
          <t>noul</t>
        </is>
      </c>
      <c r="D7" s="10" t="n">
        <v>0.84</v>
      </c>
      <c r="E7" s="18" t="n"/>
      <c r="F7" s="18" t="n"/>
      <c r="G7" s="10" t="inlineStr">
        <is>
          <t>yes</t>
        </is>
      </c>
      <c r="H7" s="10" t="inlineStr"/>
    </row>
    <row r="8">
      <c r="A8" s="10" t="inlineStr">
        <is>
          <t>http://119.91.205.130:9080/</t>
        </is>
      </c>
      <c r="B8" s="10" t="inlineStr">
        <is>
          <t>citable</t>
        </is>
      </c>
      <c r="C8" s="10" t="inlineStr">
        <is>
          <t>score</t>
        </is>
      </c>
      <c r="D8" s="10" t="n">
        <v>0.733</v>
      </c>
      <c r="E8" s="18" t="n">
        <v>0.68</v>
      </c>
      <c r="F8" s="18" t="n">
        <v>0.95</v>
      </c>
      <c r="G8" s="10" t="inlineStr">
        <is>
          <t>act</t>
        </is>
      </c>
      <c r="H8" s="10" t="inlineStr">
        <is>
          <t>2: 0.69, 3: 0.26, 1: 0.04</t>
        </is>
      </c>
    </row>
    <row r="9">
      <c r="A9" s="10" t="inlineStr">
        <is>
          <t>http://119.91.205.130:9080/</t>
        </is>
      </c>
      <c r="B9" s="10" t="inlineStr">
        <is>
          <t>trust</t>
        </is>
      </c>
      <c r="C9" s="10" t="inlineStr">
        <is>
          <t>score</t>
        </is>
      </c>
      <c r="D9" s="10" t="n">
        <v>0.357</v>
      </c>
      <c r="E9" s="18" t="n">
        <v>0.9</v>
      </c>
      <c r="F9" s="18" t="n">
        <v>0.92</v>
      </c>
      <c r="G9" s="10" t="inlineStr">
        <is>
          <t>act</t>
        </is>
      </c>
      <c r="H9" s="10" t="inlineStr">
        <is>
          <t>1: 0.90, 2: 0.08, 0: 0.02</t>
        </is>
      </c>
    </row>
    <row r="10">
      <c r="A10" s="10" t="inlineStr">
        <is>
          <t>http://119.91.205.130:9080/</t>
        </is>
      </c>
      <c r="B10" s="10" t="inlineStr">
        <is>
          <t>clear_next_step</t>
        </is>
      </c>
      <c r="C10" s="10" t="inlineStr">
        <is>
          <t>noul</t>
        </is>
      </c>
      <c r="D10" s="10" t="n">
        <v>0.93</v>
      </c>
      <c r="E10" s="18" t="n"/>
      <c r="F10" s="18" t="n"/>
      <c r="G10" s="10" t="inlineStr">
        <is>
          <t>yes</t>
        </is>
      </c>
      <c r="H10" s="10" t="inlineStr"/>
    </row>
    <row r="11">
      <c r="A11" s="10" t="inlineStr">
        <is>
          <t>http://119.91.205.130:9080/</t>
        </is>
      </c>
      <c r="B11" s="10" t="inlineStr">
        <is>
          <t>title_fit</t>
        </is>
      </c>
      <c r="C11" s="10" t="inlineStr">
        <is>
          <t>score</t>
        </is>
      </c>
      <c r="D11" s="10" t="n">
        <v>0.68</v>
      </c>
      <c r="E11" s="18" t="n">
        <v>0.9</v>
      </c>
      <c r="F11" s="18" t="n">
        <v>0.97</v>
      </c>
      <c r="G11" s="10" t="inlineStr">
        <is>
          <t>act</t>
        </is>
      </c>
      <c r="H11" s="10" t="inlineStr">
        <is>
          <t>2: 0.90, 3: 0.07, 1: 0.03</t>
        </is>
      </c>
    </row>
    <row r="12">
      <c r="A12" s="10" t="inlineStr">
        <is>
          <t>http://119.91.205.130:9080/</t>
        </is>
      </c>
      <c r="B12" s="10" t="inlineStr">
        <is>
          <t>meta_fit</t>
        </is>
      </c>
      <c r="C12" s="10" t="inlineStr">
        <is>
          <t>score</t>
        </is>
      </c>
      <c r="D12" s="10" t="n">
        <v>0.697</v>
      </c>
      <c r="E12" s="18" t="n">
        <v>0.67</v>
      </c>
      <c r="F12" s="18" t="n">
        <v>0.88</v>
      </c>
      <c r="G12" s="10" t="inlineStr">
        <is>
          <t>act</t>
        </is>
      </c>
      <c r="H12" s="10" t="inlineStr">
        <is>
          <t>2: 0.67, 3: 0.21, 1: 0.12</t>
        </is>
      </c>
    </row>
    <row r="13">
      <c r="A13" s="10" t="inlineStr">
        <is>
          <t>http://119.91.205.130:9080/</t>
        </is>
      </c>
      <c r="B13" s="10" t="inlineStr">
        <is>
          <t>h1_fit</t>
        </is>
      </c>
      <c r="C13" s="10" t="inlineStr">
        <is>
          <t>noul</t>
        </is>
      </c>
      <c r="D13" s="10" t="n">
        <v>0.59</v>
      </c>
      <c r="E13" s="18" t="n"/>
      <c r="F13" s="18" t="n"/>
      <c r="G13" s="10" t="inlineStr">
        <is>
          <t>review</t>
        </is>
      </c>
      <c r="H13" s="10" t="inlineStr"/>
    </row>
    <row r="14">
      <c r="A14" s="10" t="inlineStr">
        <is>
          <t>http://119.91.205.130:9080/</t>
        </is>
      </c>
      <c r="B14" s="10" t="inlineStr">
        <is>
          <t>page_type</t>
        </is>
      </c>
      <c r="C14" s="10" t="inlineStr">
        <is>
          <t>choice</t>
        </is>
      </c>
      <c r="D14" s="10" t="inlineStr">
        <is>
          <t>homepage</t>
        </is>
      </c>
      <c r="E14" s="18" t="n">
        <v>1</v>
      </c>
      <c r="F14" s="18" t="n"/>
      <c r="G14" s="10" t="inlineStr">
        <is>
          <t>act</t>
        </is>
      </c>
      <c r="H14" s="10" t="inlineStr">
        <is>
          <t>homepage: 1.00</t>
        </is>
      </c>
    </row>
    <row r="15">
      <c r="A15" s="10" t="inlineStr">
        <is>
          <t>(site)</t>
        </is>
      </c>
      <c r="B15" s="10" t="inlineStr">
        <is>
          <t>business_model</t>
        </is>
      </c>
      <c r="C15" s="10" t="inlineStr">
        <is>
          <t>choice</t>
        </is>
      </c>
      <c r="D15" s="10" t="inlineStr">
        <is>
          <t>agency_or_b2b_services</t>
        </is>
      </c>
      <c r="E15" s="18" t="n">
        <v>0.72</v>
      </c>
      <c r="F15" s="18" t="n"/>
      <c r="G15" s="10" t="inlineStr">
        <is>
          <t>review</t>
        </is>
      </c>
      <c r="H15" s="10" t="inlineStr">
        <is>
          <t>agency_or_b2b_services: 0.75, ecommerce: 0.18, other: 0.07</t>
        </is>
      </c>
    </row>
    <row r="16">
      <c r="A16" s="10" t="inlineStr">
        <is>
          <t>(site)</t>
        </is>
      </c>
      <c r="B16" s="10" t="inlineStr">
        <is>
          <t>value_prop</t>
        </is>
      </c>
      <c r="C16" s="10" t="inlineStr">
        <is>
          <t>score</t>
        </is>
      </c>
      <c r="D16" s="10" t="n">
        <v>0.9330000000000001</v>
      </c>
      <c r="E16" s="18" t="n">
        <v>0.8</v>
      </c>
      <c r="F16" s="18" t="n">
        <v>1</v>
      </c>
      <c r="G16" s="10" t="inlineStr">
        <is>
          <t>act</t>
        </is>
      </c>
      <c r="H16" s="10" t="inlineStr">
        <is>
          <t>3: 0.80, 2: 0.20, 0: 0.00</t>
        </is>
      </c>
    </row>
    <row r="17">
      <c r="A17" s="10" t="inlineStr">
        <is>
          <t>(site)</t>
        </is>
      </c>
      <c r="B17" s="10" t="inlineStr">
        <is>
          <t>entity_clarity</t>
        </is>
      </c>
      <c r="C17" s="10" t="inlineStr">
        <is>
          <t>noul</t>
        </is>
      </c>
      <c r="D17" s="10" t="n">
        <v>0.88</v>
      </c>
      <c r="E17" s="18" t="n"/>
      <c r="F17" s="18" t="n"/>
      <c r="G17" s="10" t="inlineStr">
        <is>
          <t>yes</t>
        </is>
      </c>
      <c r="H17" s="10" t="inlineStr"/>
    </row>
    <row r="18">
      <c r="A18" s="10" t="inlineStr">
        <is>
          <t>(site)</t>
        </is>
      </c>
      <c r="B18" s="10" t="inlineStr">
        <is>
          <t>topical_focus</t>
        </is>
      </c>
      <c r="C18" s="10" t="inlineStr">
        <is>
          <t>score</t>
        </is>
      </c>
      <c r="D18" s="10" t="n">
        <v>0.997</v>
      </c>
      <c r="E18" s="18" t="n">
        <v>1</v>
      </c>
      <c r="F18" s="18" t="n">
        <v>1</v>
      </c>
      <c r="G18" s="10" t="inlineStr">
        <is>
          <t>act</t>
        </is>
      </c>
      <c r="H18" s="10" t="inlineStr">
        <is>
          <t>3: 1.00, 0: 0.00, 1: 0.00</t>
        </is>
      </c>
    </row>
    <row r="19">
      <c r="A19" s="10" t="inlineStr">
        <is>
          <t>(site)</t>
        </is>
      </c>
      <c r="B19" s="10" t="inlineStr">
        <is>
          <t>serves_local_area</t>
        </is>
      </c>
      <c r="C19" s="10" t="inlineStr">
        <is>
          <t>noul</t>
        </is>
      </c>
      <c r="D19" s="10" t="n">
        <v>0.21</v>
      </c>
      <c r="E19" s="18" t="n"/>
      <c r="F19" s="18" t="n"/>
      <c r="G19" s="10" t="inlineStr">
        <is>
          <t>review</t>
        </is>
      </c>
      <c r="H19" s="10" t="inlineStr"/>
    </row>
  </sheetData>
  <autoFilter ref="A1:H19"/>
  <conditionalFormatting sqref="G2:G19">
    <cfRule type="cellIs" priority="1" operator="equal" dxfId="1">
      <formula>"review"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3C2B7"/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30" customHeight="1">
      <c r="A1" s="9" t="inlineStr">
        <is>
          <t>Check</t>
        </is>
      </c>
      <c r="B1" s="9" t="inlineStr">
        <is>
          <t>Value</t>
        </is>
      </c>
    </row>
    <row r="2">
      <c r="A2" s="10" t="inlineStr">
        <is>
          <t>Final homepage URL</t>
        </is>
      </c>
      <c r="B2" s="10" t="inlineStr">
        <is>
          <t>http://119.91.205.130:9080/</t>
        </is>
      </c>
    </row>
    <row r="3">
      <c r="A3" s="10" t="inlineStr">
        <is>
          <t>HTTPS</t>
        </is>
      </c>
      <c r="B3" s="10" t="inlineStr">
        <is>
          <t>no</t>
        </is>
      </c>
    </row>
    <row r="4">
      <c r="A4" s="10" t="inlineStr">
        <is>
          <t>HTTP redirects to HTTPS</t>
        </is>
      </c>
      <c r="B4" s="10" t="inlineStr">
        <is>
          <t>no</t>
        </is>
      </c>
    </row>
    <row r="5">
      <c r="A5" s="10" t="inlineStr">
        <is>
          <t>Alternate host</t>
        </is>
      </c>
      <c r="B5" s="10" t="inlineStr">
        <is>
          <t>www.119.91.205.130:9080 -&gt; status None, redirects to preferred: False</t>
        </is>
      </c>
    </row>
    <row r="6">
      <c r="A6" s="10" t="inlineStr">
        <is>
          <t>Nonexistent URL status</t>
        </is>
      </c>
      <c r="B6" s="10" t="n">
        <v>404</v>
      </c>
    </row>
    <row r="7">
      <c r="A7" s="10" t="inlineStr">
        <is>
          <t>robots.txt</t>
        </is>
      </c>
      <c r="B7" s="10" t="inlineStr">
        <is>
          <t>present</t>
        </is>
      </c>
    </row>
    <row r="8">
      <c r="A8" s="10" t="inlineStr">
        <is>
          <t>Sitemaps declared</t>
        </is>
      </c>
      <c r="B8" s="10" t="inlineStr">
        <is>
          <t>http://119.91.205.130:9080/sitemap.xml</t>
        </is>
      </c>
    </row>
    <row r="9">
      <c r="A9" s="10" t="inlineStr">
        <is>
          <t>Sitemap URLs</t>
        </is>
      </c>
      <c r="B9" s="10" t="n">
        <v>156</v>
      </c>
    </row>
    <row r="10">
      <c r="A10" s="10" t="inlineStr">
        <is>
          <t>llms.txt</t>
        </is>
      </c>
      <c r="B10" s="10" t="inlineStr">
        <is>
          <t>not found</t>
        </is>
      </c>
    </row>
    <row r="11">
      <c r="A11" s="10" t="inlineStr">
        <is>
          <t>Render mode</t>
        </is>
      </c>
      <c r="B11" s="10" t="inlineStr">
        <is>
          <t>auto</t>
        </is>
      </c>
    </row>
    <row r="12">
      <c r="A12" s="10" t="inlineStr">
        <is>
          <t>Requests made</t>
        </is>
      </c>
      <c r="B12" s="10" t="n">
        <v>167</v>
      </c>
    </row>
    <row r="13">
      <c r="A13" s="10" t="inlineStr">
        <is>
          <t>Page cap reached</t>
        </is>
      </c>
      <c r="B13" s="10" t="inlineStr">
        <is>
          <t>yes</t>
        </is>
      </c>
    </row>
    <row r="14">
      <c r="A14" s="10" t="inlineStr">
        <is>
          <t>Search bot: Googlebot</t>
        </is>
      </c>
      <c r="B14" s="10" t="inlineStr">
        <is>
          <t>allowed</t>
        </is>
      </c>
    </row>
    <row r="15">
      <c r="A15" s="10" t="inlineStr">
        <is>
          <t>Search bot: Bingbot</t>
        </is>
      </c>
      <c r="B15" s="10" t="inlineStr">
        <is>
          <t>allowed</t>
        </is>
      </c>
    </row>
    <row r="16">
      <c r="A16" s="10" t="inlineStr">
        <is>
          <t>AI bot: GPTBot</t>
        </is>
      </c>
      <c r="B16" s="10" t="inlineStr">
        <is>
          <t>allowed</t>
        </is>
      </c>
    </row>
    <row r="17">
      <c r="A17" s="10" t="inlineStr">
        <is>
          <t>AI bot: OAI-SearchBot</t>
        </is>
      </c>
      <c r="B17" s="10" t="inlineStr">
        <is>
          <t>allowed</t>
        </is>
      </c>
    </row>
    <row r="18">
      <c r="A18" s="10" t="inlineStr">
        <is>
          <t>AI bot: ChatGPT-User</t>
        </is>
      </c>
      <c r="B18" s="10" t="inlineStr">
        <is>
          <t>allowed</t>
        </is>
      </c>
    </row>
    <row r="19">
      <c r="A19" s="10" t="inlineStr">
        <is>
          <t>AI bot: ClaudeBot</t>
        </is>
      </c>
      <c r="B19" s="10" t="inlineStr">
        <is>
          <t>allowed</t>
        </is>
      </c>
    </row>
    <row r="20">
      <c r="A20" s="10" t="inlineStr">
        <is>
          <t>AI bot: Claude-SearchBot</t>
        </is>
      </c>
      <c r="B20" s="10" t="inlineStr">
        <is>
          <t>allowed</t>
        </is>
      </c>
    </row>
    <row r="21">
      <c r="A21" s="10" t="inlineStr">
        <is>
          <t>AI bot: PerplexityBot</t>
        </is>
      </c>
      <c r="B21" s="10" t="inlineStr">
        <is>
          <t>allowed</t>
        </is>
      </c>
    </row>
    <row r="22">
      <c r="A22" s="10" t="inlineStr">
        <is>
          <t>AI bot: Google-Extended</t>
        </is>
      </c>
      <c r="B22" s="10" t="inlineStr">
        <is>
          <t>allowed</t>
        </is>
      </c>
    </row>
    <row r="23">
      <c r="A23" s="10" t="inlineStr">
        <is>
          <t>AI bot: Applebot-Extended</t>
        </is>
      </c>
      <c r="B23" s="10" t="inlineStr">
        <is>
          <t>allowed</t>
        </is>
      </c>
    </row>
    <row r="24">
      <c r="A24" s="10" t="inlineStr">
        <is>
          <t>AI bot: CCBot</t>
        </is>
      </c>
      <c r="B24" s="10" t="inlineStr">
        <is>
          <t>allowed</t>
        </is>
      </c>
    </row>
    <row r="25">
      <c r="A25" s="10" t="inlineStr">
        <is>
          <t>AI bot: Bytespider</t>
        </is>
      </c>
      <c r="B25" s="10" t="inlineStr">
        <is>
          <t>allowed</t>
        </is>
      </c>
    </row>
  </sheetData>
  <autoFilter ref="A1:B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3C2B7"/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2" customWidth="1" min="4" max="4"/>
    <col width="12" customWidth="1" min="5" max="5"/>
    <col width="8" customWidth="1" min="6" max="6"/>
    <col width="11" customWidth="1" min="7" max="7"/>
    <col width="11" customWidth="1" min="8" max="8"/>
    <col width="9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 ht="30" customHeight="1">
      <c r="A1" s="9" t="inlineStr">
        <is>
          <t>URL</t>
        </is>
      </c>
      <c r="B1" s="9" t="inlineStr">
        <is>
          <t>Device</t>
        </is>
      </c>
      <c r="C1" s="9" t="inlineStr">
        <is>
          <t>Performance</t>
        </is>
      </c>
      <c r="D1" s="9" t="inlineStr">
        <is>
          <t>Accessibility</t>
        </is>
      </c>
      <c r="E1" s="9" t="inlineStr">
        <is>
          <t>Best practices</t>
        </is>
      </c>
      <c r="F1" s="9" t="inlineStr">
        <is>
          <t>SEO</t>
        </is>
      </c>
      <c r="G1" s="9" t="inlineStr">
        <is>
          <t>LCP p75 ms</t>
        </is>
      </c>
      <c r="H1" s="9" t="inlineStr">
        <is>
          <t>INP p75 ms</t>
        </is>
      </c>
      <c r="I1" s="9" t="inlineStr">
        <is>
          <t>CLS p75</t>
        </is>
      </c>
      <c r="J1" s="9" t="inlineStr">
        <is>
          <t>LCP rating</t>
        </is>
      </c>
      <c r="K1" s="9" t="inlineStr">
        <is>
          <t>INP rating</t>
        </is>
      </c>
      <c r="L1" s="9" t="inlineStr">
        <is>
          <t>CLS rating</t>
        </is>
      </c>
      <c r="M1" s="9" t="inlineStr">
        <is>
          <t>Field data level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3C2B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3C2B7"/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30" customHeight="1">
      <c r="A1" s="9" t="inlineStr">
        <is>
          <t>Topic</t>
        </is>
      </c>
      <c r="B1" s="9" t="inlineStr">
        <is>
          <t>Detail</t>
        </is>
      </c>
    </row>
    <row r="2">
      <c r="A2" s="10" t="inlineStr">
        <is>
          <t>Pipeline</t>
        </is>
      </c>
      <c r="B2" s="10" t="inlineStr">
        <is>
          <t>Crawl (code) -&gt; rules (code) -&gt; Jev typed judgments -&gt; PageSpeed Insights -&gt; scoring and ranking (code) -&gt; narrative (lead agent).</t>
        </is>
      </c>
    </row>
    <row r="3">
      <c r="A3" s="10" t="inlineStr">
        <is>
          <t>Area score</t>
        </is>
      </c>
      <c r="B3" s="10" t="inlineStr">
        <is>
          <t>100 minus, per finding, severity amount (critical 25, high 12, medium 6, low 2) x (0.5 + 0.5 x share of pages affected). Content and AI readiness blend 70% Jev judgment and 30% rules; performance blends 50% Lighthouse mobile and 50% crawl observations.</t>
        </is>
      </c>
    </row>
    <row r="4">
      <c r="A4" s="10" t="inlineStr">
        <is>
          <t>Overall</t>
        </is>
      </c>
      <c r="B4" s="10" t="inlineStr">
        <is>
          <t>Weighted mean of scored areas; unscored areas excluded, never zero. Blocked site capped at 20; no reliable HTTPS capped at 60.</t>
        </is>
      </c>
    </row>
    <row r="5">
      <c r="A5" s="10" t="inlineStr">
        <is>
          <t>Impact</t>
        </is>
      </c>
      <c r="B5" s="10" t="inlineStr">
        <is>
          <t>Severity weight (10/6/3/1) x (0.6 + 0.4 x reach) x (0.6 + 0.8 x max Jev importance of affected pages), scaled to 100.</t>
        </is>
      </c>
    </row>
    <row r="6">
      <c r="A6" s="10" t="inlineStr">
        <is>
          <t>Jev bands</t>
        </is>
      </c>
      <c r="B6" s="10" t="inlineStr">
        <is>
          <t>Choice and Score decisive at confidence &gt;= 0.80; Noul decisive at P(yes) &gt;= 0.80 or &lt;= 0.20; everything else needs a human check.</t>
        </is>
      </c>
    </row>
    <row r="7">
      <c r="A7" s="10" t="inlineStr">
        <is>
          <t>Jev ledger</t>
        </is>
      </c>
      <c r="B7" s="10" t="inlineStr">
        <is>
          <t>{'model_requested': 'jev-latest', 'model_returned': 'jev-1.13.0', 'requests': 2, 'failed': 0, 'input_tokens': 4991, 'output_tokens': 441, 'est_reserved_tokens': 0, 'skipped_budget': 0, 'errors': [], 'cost_usd': 0.00021, 'usd_per_mtok': 0.042}</t>
        </is>
      </c>
    </row>
    <row r="8">
      <c r="A8" s="10" t="inlineStr">
        <is>
          <t>DataForSEO</t>
        </is>
      </c>
      <c r="B8" s="10" t="inlineStr">
        <is>
          <t>Not used (run with --full)</t>
        </is>
      </c>
    </row>
    <row r="9">
      <c r="A9" s="10" t="inlineStr">
        <is>
          <t>Status authority</t>
        </is>
      </c>
      <c r="B9" s="10" t="inlineStr">
        <is>
          <t>The Actions sheet Status column is the only editable status. Summary counts update from it. PDF and Markdown are dated snapshots.</t>
        </is>
      </c>
    </row>
    <row r="10">
      <c r="A10" s="10" t="inlineStr">
        <is>
          <t>Limits</t>
        </is>
      </c>
      <c r="B10" s="10" t="inlineStr">
        <is>
          <t>No Search Console, analytics, backlink or keyword volume data. Scores are an internal rubric, not ranking or traffic predictions. Jev answers are model judgments, not measurements.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2026-10-12T13:18:28Z</dcterms:created>
  <dcterms:modified xmlns:dcterms="http://purl.org/dc/terms/" xmlns:xsi="http://www.w3.org/2001/XMLSchema-instance" xsi:type="dcterms:W3CDTF">2026-10-12T13:18:28Z</dcterms:modified>
</cp:coreProperties>
</file>